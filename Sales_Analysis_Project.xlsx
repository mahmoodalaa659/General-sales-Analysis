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C35DD0CA-59BD-41FC-8AF3-FB22D18E5740}" xr6:coauthVersionLast="47" xr6:coauthVersionMax="47" xr10:uidLastSave="{00000000-0000-0000-0000-000000000000}"/>
  <bookViews>
    <workbookView xWindow="-108" yWindow="-108" windowWidth="23256" windowHeight="12456" xr2:uid="{00000000-000D-0000-FFFF-FFFF00000000}"/>
  </bookViews>
  <sheets>
    <sheet name="Dashboard" sheetId="3" r:id="rId1"/>
    <sheet name="pivot table sales" sheetId="2" r:id="rId2"/>
    <sheet name="Sales Data" sheetId="1" r:id="rId3"/>
  </sheets>
  <definedNames>
    <definedName name="_xlnm._FilterDatabase" localSheetId="2" hidden="1">'Sales Data'!$A$1:$J$151</definedName>
    <definedName name="Slicer_Category">#N/A</definedName>
    <definedName name="Slicer_Country">#N/A</definedName>
    <definedName name="Slicer_Months__Order_Date">#N/A</definedName>
    <definedName name="Slicer_Product">#N/A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2" i="1" l="1"/>
  <c r="H152" i="1"/>
  <c r="I152" i="1"/>
</calcChain>
</file>

<file path=xl/sharedStrings.xml><?xml version="1.0" encoding="utf-8"?>
<sst xmlns="http://schemas.openxmlformats.org/spreadsheetml/2006/main" count="956" uniqueCount="206">
  <si>
    <t>Order ID</t>
  </si>
  <si>
    <t>Order Date</t>
  </si>
  <si>
    <t>Region</t>
  </si>
  <si>
    <t>Country</t>
  </si>
  <si>
    <t>Category</t>
  </si>
  <si>
    <t>Product</t>
  </si>
  <si>
    <t>Quantity</t>
  </si>
  <si>
    <t>Unit Price</t>
  </si>
  <si>
    <t>Total</t>
  </si>
  <si>
    <t>Payment Method</t>
  </si>
  <si>
    <t>ORD0001</t>
  </si>
  <si>
    <t>North</t>
  </si>
  <si>
    <t>Egypt</t>
  </si>
  <si>
    <t>Electronics</t>
  </si>
  <si>
    <t>Shoes</t>
  </si>
  <si>
    <t>Credit Card</t>
  </si>
  <si>
    <t>ORD0002</t>
  </si>
  <si>
    <t>UAE</t>
  </si>
  <si>
    <t>Clothing</t>
  </si>
  <si>
    <t>Laptop</t>
  </si>
  <si>
    <t>ORD0003</t>
  </si>
  <si>
    <t>South</t>
  </si>
  <si>
    <t>Headphones</t>
  </si>
  <si>
    <t>ORD0004</t>
  </si>
  <si>
    <t>Qatar</t>
  </si>
  <si>
    <t>Home</t>
  </si>
  <si>
    <t>Watch</t>
  </si>
  <si>
    <t>PayPal</t>
  </si>
  <si>
    <t>ORD0005</t>
  </si>
  <si>
    <t>Sports</t>
  </si>
  <si>
    <t>Cash</t>
  </si>
  <si>
    <t>ORD0006</t>
  </si>
  <si>
    <t>West</t>
  </si>
  <si>
    <t>KSA</t>
  </si>
  <si>
    <t>Football</t>
  </si>
  <si>
    <t>ORD0007</t>
  </si>
  <si>
    <t>East</t>
  </si>
  <si>
    <t>ORD0008</t>
  </si>
  <si>
    <t>ORD0009</t>
  </si>
  <si>
    <t>ORD0010</t>
  </si>
  <si>
    <t>Morocco</t>
  </si>
  <si>
    <t>ORD0011</t>
  </si>
  <si>
    <t>Table</t>
  </si>
  <si>
    <t>ORD0012</t>
  </si>
  <si>
    <t>ORD0013</t>
  </si>
  <si>
    <t>ORD0014</t>
  </si>
  <si>
    <t>ORD0015</t>
  </si>
  <si>
    <t>ORD0016</t>
  </si>
  <si>
    <t>ORD0017</t>
  </si>
  <si>
    <t>T-Shirt</t>
  </si>
  <si>
    <t>ORD0018</t>
  </si>
  <si>
    <t>ORD0019</t>
  </si>
  <si>
    <t>ORD0020</t>
  </si>
  <si>
    <t>ORD0021</t>
  </si>
  <si>
    <t>ORD0022</t>
  </si>
  <si>
    <t>ORD0023</t>
  </si>
  <si>
    <t>ORD0024</t>
  </si>
  <si>
    <t>ORD0025</t>
  </si>
  <si>
    <t>ORD0026</t>
  </si>
  <si>
    <t>ORD0027</t>
  </si>
  <si>
    <t>Sofa</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</si>
  <si>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</si>
  <si>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</si>
  <si>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</si>
  <si>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</si>
  <si>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</si>
  <si>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</si>
  <si>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</si>
  <si>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</si>
  <si>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</si>
  <si>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</si>
  <si>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</si>
  <si>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</si>
  <si>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</si>
  <si>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</si>
  <si>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</si>
  <si>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</si>
  <si>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</si>
  <si>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</si>
  <si>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</si>
  <si>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</si>
  <si>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</si>
  <si>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</si>
  <si>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</si>
  <si>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</si>
  <si>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</si>
  <si>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</si>
  <si>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</si>
  <si>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</si>
  <si>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</si>
  <si>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</si>
  <si>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</si>
  <si>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</si>
  <si>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</si>
  <si>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</si>
  <si>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</si>
  <si>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</si>
  <si>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</si>
  <si>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</si>
  <si>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</si>
  <si>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</si>
  <si>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</si>
  <si>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</si>
  <si>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</si>
  <si>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</si>
  <si>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</si>
  <si>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</si>
  <si>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</si>
  <si>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</si>
  <si>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</si>
  <si>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</si>
  <si>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</si>
  <si>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</si>
  <si>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</si>
  <si>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</si>
  <si>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</si>
  <si>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</si>
  <si>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</si>
  <si>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</si>
  <si>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</si>
  <si>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</si>
  <si>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</si>
  <si>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</si>
  <si>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</si>
  <si>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</si>
  <si>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</si>
  <si>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</si>
  <si>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</si>
  <si>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</si>
  <si>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</si>
  <si>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</si>
  <si>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</si>
  <si>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</si>
  <si>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</si>
  <si>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</si>
  <si>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</si>
  <si>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</si>
  <si>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</si>
  <si>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</si>
  <si>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</si>
  <si>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</si>
  <si>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</si>
  <si>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</si>
  <si>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</si>
  <si>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</si>
  <si>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</si>
  <si>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</si>
  <si>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</si>
  <si>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</si>
  <si>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</si>
  <si>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</si>
  <si>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</si>
  <si>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</si>
  <si>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</si>
  <si>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</si>
  <si>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</si>
  <si>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</si>
  <si>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</si>
  <si>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</si>
  <si>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</si>
  <si>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</si>
  <si>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</si>
  <si>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</si>
  <si>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</si>
  <si>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</si>
  <si>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</si>
  <si>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</si>
  <si>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</si>
  <si>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</si>
  <si>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</si>
  <si>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</si>
  <si>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</si>
  <si>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</si>
  <si>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</si>
  <si>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</si>
  <si>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</si>
  <si>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</si>
  <si>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</si>
  <si>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</si>
  <si>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</si>
  <si>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</si>
  <si>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</si>
  <si>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</si>
  <si>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</si>
  <si>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Row Labels</t>
  </si>
  <si>
    <t>Grand Total</t>
  </si>
  <si>
    <t>Sum of Total</t>
  </si>
  <si>
    <t>Column Labels</t>
  </si>
  <si>
    <t>Sum of Quantity</t>
  </si>
  <si>
    <t>Jan</t>
  </si>
  <si>
    <t>Feb</t>
  </si>
  <si>
    <t>Mar</t>
  </si>
  <si>
    <t>Apr</t>
  </si>
  <si>
    <t>May</t>
  </si>
  <si>
    <t>Jun</t>
  </si>
  <si>
    <t>Jul</t>
  </si>
  <si>
    <t>Aug</t>
  </si>
  <si>
    <t>Sep</t>
  </si>
  <si>
    <t>Oct</t>
  </si>
  <si>
    <t>Nov</t>
  </si>
  <si>
    <t>Dec</t>
  </si>
  <si>
    <t>Count of Order ID</t>
  </si>
  <si>
    <t>General sales</t>
  </si>
  <si>
    <t>total Quantity</t>
  </si>
  <si>
    <t>Averge unit price</t>
  </si>
  <si>
    <r>
      <rPr>
        <sz val="24"/>
        <color theme="0"/>
        <rFont val="Calibri"/>
        <family val="2"/>
        <scheme val="minor"/>
      </rPr>
      <t xml:space="preserve">total sales </t>
    </r>
    <r>
      <rPr>
        <sz val="2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</si>
</sst>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0"/>
      <color theme="1"/>
      <name val="Calibri"/>
      <family val="2"/>
      <scheme val="minor"/>
    </font>
    <font>
      <sz val="20"/>
      <color theme="1"/>
      <name val="Calibri"/>
      <family val="2"/>
      <scheme val="minor"/>
    </font>
    <font>
      <sz val="24"/>
      <color theme="1"/>
      <name val="Calibri"/>
      <family val="2"/>
      <scheme val="minor"/>
    </font>
    <font>
      <sz val="90"/>
      <color theme="0"/>
      <name val="Calibri"/>
      <family val="2"/>
      <scheme val="minor"/>
    </font>
    <font>
      <sz val="24"/>
      <color theme="0"/>
      <name val="Calibri"/>
      <family val="2"/>
      <scheme val="minor"/>
    </font>
    <font>
      <sz val="28"/>
      <color theme="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0" fillId="2" borderId="1" xfId="0" applyFill="1" applyBorder="1"/>
    <xf numFmtId="14" fontId="0" fillId="0" borderId="1" xfId="0" applyNumberFormat="1" applyBorder="1"/>
    <xf numFmtId="0" fontId="0" fillId="0" borderId="0" xfId="0" pivotButton="1"/>
    <xf numFmtId="0" fontId="0" fillId="0" borderId="0" xfId="0" applyAlignment="1">
      <alignment horizontal="left"/>
    </xf>
    <xf numFmtId="0" fontId="0" fillId="3" borderId="0" xfId="0" applyFill="1"/>
    <xf numFmtId="0" fontId="0" fillId="0" borderId="0" xfId="0" applyNumberFormat="1"/>
    <xf numFmtId="0" fontId="2" fillId="3" borderId="0" xfId="0" applyFont="1" applyFill="1" applyAlignment="1">
      <alignment vertical="top"/>
    </xf>
    <xf numFmtId="0" fontId="3" fillId="3" borderId="0" xfId="0" applyFont="1" applyFill="1" applyAlignment="1">
      <alignment horizontal="left" vertical="top"/>
    </xf>
    <xf numFmtId="0" fontId="2" fillId="3" borderId="0" xfId="0" applyFont="1" applyFill="1" applyAlignment="1">
      <alignment horizontal="center" vertical="top"/>
    </xf>
    <xf numFmtId="0" fontId="3" fillId="4" borderId="0" xfId="0" applyFont="1" applyFill="1" applyAlignment="1">
      <alignment horizontal="left" vertical="top"/>
    </xf>
    <xf numFmtId="0" fontId="2" fillId="4" borderId="0" xfId="0" applyFont="1" applyFill="1" applyAlignment="1">
      <alignment vertical="top"/>
    </xf>
    <xf numFmtId="0" fontId="4" fillId="3" borderId="0" xfId="0" applyFont="1" applyFill="1" applyAlignment="1">
      <alignment vertical="center"/>
    </xf>
    <xf numFmtId="0" fontId="1" fillId="3" borderId="0" xfId="0" applyFont="1" applyFill="1" applyAlignment="1">
      <alignment vertical="center"/>
    </xf>
    <xf numFmtId="0" fontId="4" fillId="4" borderId="0" xfId="0" applyFont="1" applyFill="1" applyAlignment="1">
      <alignment horizontal="center" vertical="center"/>
    </xf>
    <xf numFmtId="0" fontId="5" fillId="4" borderId="0" xfId="0" applyFont="1" applyFill="1" applyAlignment="1">
      <alignment horizontal="left" vertical="top"/>
    </xf>
    <xf numFmtId="0" fontId="5" fillId="5" borderId="0" xfId="0" applyFont="1" applyFill="1" applyAlignment="1">
      <alignment horizontal="center" vertical="center"/>
    </xf>
    <xf numFmtId="0" fontId="6" fillId="5"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sales'!$B$3</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sales'!$A$4:$A$8</c:f>
              <c:strCache>
                <c:ptCount val="4"/>
                <c:pt idx="0">
                  <c:v>East</c:v>
                </c:pt>
                <c:pt idx="1">
                  <c:v>North</c:v>
                </c:pt>
                <c:pt idx="2">
                  <c:v>South</c:v>
                </c:pt>
                <c:pt idx="3">
                  <c:v>West</c:v>
                </c:pt>
              </c:strCache>
            </c:strRef>
          </c:cat>
          <c:val>
            <c:numRef>
              <c:f>'pivot table sales'!$B$4:$B$8</c:f>
              <c:numCache>
                <c:formatCode>General</c:formatCode>
                <c:ptCount val="4"/>
                <c:pt idx="0">
                  <c:v>49897</c:v>
                </c:pt>
                <c:pt idx="1">
                  <c:v>55459</c:v>
                </c:pt>
                <c:pt idx="2">
                  <c:v>58975</c:v>
                </c:pt>
                <c:pt idx="3">
                  <c:v>44027</c:v>
                </c:pt>
              </c:numCache>
            </c:numRef>
          </c:val>
          <c:extLst>
            <c:ext xmlns:c16="http://schemas.microsoft.com/office/drawing/2014/chart" uri="{C3380CC4-5D6E-409C-BE32-E72D297353CC}">
              <c16:uniqueId val="{00000000-6201-4BA6-9432-07123424531E}"/>
            </c:ext>
          </c:extLst>
        </c:ser>
        <c:dLbls>
          <c:showLegendKey val="0"/>
          <c:showVal val="1"/>
          <c:showCatName val="0"/>
          <c:showSerName val="0"/>
          <c:showPercent val="0"/>
          <c:showBubbleSize val="0"/>
        </c:dLbls>
        <c:gapWidth val="150"/>
        <c:shape val="box"/>
        <c:axId val="1725173840"/>
        <c:axId val="1725176240"/>
        <c:axId val="0"/>
      </c:bar3DChart>
      <c:catAx>
        <c:axId val="172517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76240"/>
        <c:crosses val="autoZero"/>
        <c:auto val="1"/>
        <c:lblAlgn val="ctr"/>
        <c:lblOffset val="100"/>
        <c:noMultiLvlLbl val="0"/>
      </c:catAx>
      <c:valAx>
        <c:axId val="17251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73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By category</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pivotFmt>
      <c:pivotFmt>
        <c:idx val="13"/>
        <c:spPr>
          <a:solidFill>
            <a:srgbClr val="FF0000"/>
          </a:solidFill>
          <a:ln>
            <a:noFill/>
          </a:ln>
          <a:effectLst/>
        </c:spPr>
      </c:pivotFmt>
      <c:pivotFmt>
        <c:idx val="14"/>
        <c:spPr>
          <a:solidFill>
            <a:srgbClr val="00B050"/>
          </a:solidFill>
          <a:ln>
            <a:noFill/>
          </a:ln>
          <a:effectLst/>
        </c:spPr>
      </c:pivotFmt>
      <c:pivotFmt>
        <c:idx val="15"/>
        <c:spPr>
          <a:solidFill>
            <a:srgbClr val="00B0F0"/>
          </a:solidFill>
          <a:ln>
            <a:solidFill>
              <a:schemeClr val="bg1"/>
            </a:solidFill>
          </a:ln>
          <a:effectLst/>
        </c:spPr>
      </c:pivotFmt>
    </c:pivotFmts>
    <c:plotArea>
      <c:layout>
        <c:manualLayout>
          <c:layoutTarget val="inner"/>
          <c:xMode val="edge"/>
          <c:yMode val="edge"/>
          <c:x val="0.14975740128627058"/>
          <c:y val="0.11923875928398184"/>
          <c:w val="0.68233027121609802"/>
          <c:h val="0.75010279965004378"/>
        </c:manualLayout>
      </c:layout>
      <c:barChart>
        <c:barDir val="bar"/>
        <c:grouping val="clustered"/>
        <c:varyColors val="0"/>
        <c:ser>
          <c:idx val="0"/>
          <c:order val="0"/>
          <c:tx>
            <c:strRef>
              <c:f>'pivot table sales'!$B$12:$B$13</c:f>
              <c:strCache>
                <c:ptCount val="1"/>
                <c:pt idx="0">
                  <c:v>Clothing</c:v>
                </c:pt>
              </c:strCache>
            </c:strRef>
          </c:tx>
          <c:spPr>
            <a:solidFill>
              <a:schemeClr val="accent1"/>
            </a:solidFill>
            <a:ln>
              <a:solidFill>
                <a:schemeClr val="bg1"/>
              </a:solidFill>
            </a:ln>
            <a:effectLst/>
          </c:spPr>
          <c:invertIfNegative val="0"/>
          <c:dPt>
            <c:idx val="0"/>
            <c:invertIfNegative val="0"/>
            <c:bubble3D val="0"/>
            <c:spPr>
              <a:solidFill>
                <a:srgbClr val="00B0F0"/>
              </a:solidFill>
              <a:ln>
                <a:solidFill>
                  <a:schemeClr val="bg1"/>
                </a:solidFill>
              </a:ln>
              <a:effectLst/>
            </c:spPr>
            <c:extLst>
              <c:ext xmlns:c16="http://schemas.microsoft.com/office/drawing/2014/chart" uri="{C3380CC4-5D6E-409C-BE32-E72D297353CC}">
                <c16:uniqueId val="{00000003-3EC5-48E3-B92B-905EB77D67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sales'!$B$14</c:f>
              <c:numCache>
                <c:formatCode>General</c:formatCode>
                <c:ptCount val="1"/>
                <c:pt idx="0">
                  <c:v>168</c:v>
                </c:pt>
              </c:numCache>
            </c:numRef>
          </c:val>
          <c:extLst>
            <c:ext xmlns:c16="http://schemas.microsoft.com/office/drawing/2014/chart" uri="{C3380CC4-5D6E-409C-BE32-E72D297353CC}">
              <c16:uniqueId val="{00000000-D84D-4A75-BA77-9BD67FA17DA8}"/>
            </c:ext>
          </c:extLst>
        </c:ser>
        <c:ser>
          <c:idx val="1"/>
          <c:order val="1"/>
          <c:tx>
            <c:strRef>
              <c:f>'pivot table sales'!$C$12:$C$13</c:f>
              <c:strCache>
                <c:ptCount val="1"/>
                <c:pt idx="0">
                  <c:v>Electronics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sales'!$C$14</c:f>
              <c:numCache>
                <c:formatCode>General</c:formatCode>
                <c:ptCount val="1"/>
                <c:pt idx="0">
                  <c:v>172</c:v>
                </c:pt>
              </c:numCache>
            </c:numRef>
          </c:val>
          <c:extLst>
            <c:ext xmlns:c16="http://schemas.microsoft.com/office/drawing/2014/chart" uri="{C3380CC4-5D6E-409C-BE32-E72D297353CC}">
              <c16:uniqueId val="{00000009-3EC5-48E3-B92B-905EB77D670E}"/>
            </c:ext>
          </c:extLst>
        </c:ser>
        <c:ser>
          <c:idx val="2"/>
          <c:order val="2"/>
          <c:tx>
            <c:strRef>
              <c:f>'pivot table sales'!$D$12:$D$13</c:f>
              <c:strCache>
                <c:ptCount val="1"/>
                <c:pt idx="0">
                  <c:v>Home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sales'!$D$14</c:f>
              <c:numCache>
                <c:formatCode>General</c:formatCode>
                <c:ptCount val="1"/>
                <c:pt idx="0">
                  <c:v>192</c:v>
                </c:pt>
              </c:numCache>
            </c:numRef>
          </c:val>
          <c:extLst>
            <c:ext xmlns:c16="http://schemas.microsoft.com/office/drawing/2014/chart" uri="{C3380CC4-5D6E-409C-BE32-E72D297353CC}">
              <c16:uniqueId val="{0000000A-3EC5-48E3-B92B-905EB77D670E}"/>
            </c:ext>
          </c:extLst>
        </c:ser>
        <c:ser>
          <c:idx val="3"/>
          <c:order val="3"/>
          <c:tx>
            <c:strRef>
              <c:f>'pivot table sales'!$E$12:$E$13</c:f>
              <c:strCache>
                <c:ptCount val="1"/>
                <c:pt idx="0">
                  <c:v>Sports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sales'!$E$14</c:f>
              <c:numCache>
                <c:formatCode>General</c:formatCode>
                <c:ptCount val="1"/>
                <c:pt idx="0">
                  <c:v>239</c:v>
                </c:pt>
              </c:numCache>
            </c:numRef>
          </c:val>
          <c:extLst>
            <c:ext xmlns:c16="http://schemas.microsoft.com/office/drawing/2014/chart" uri="{C3380CC4-5D6E-409C-BE32-E72D297353CC}">
              <c16:uniqueId val="{0000000D-3EC5-48E3-B92B-905EB77D670E}"/>
            </c:ext>
          </c:extLst>
        </c:ser>
        <c:dLbls>
          <c:dLblPos val="outEnd"/>
          <c:showLegendKey val="0"/>
          <c:showVal val="1"/>
          <c:showCatName val="0"/>
          <c:showSerName val="0"/>
          <c:showPercent val="0"/>
          <c:showBubbleSize val="0"/>
        </c:dLbls>
        <c:gapWidth val="182"/>
        <c:axId val="1725186800"/>
        <c:axId val="1725170480"/>
      </c:barChart>
      <c:catAx>
        <c:axId val="172518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70480"/>
        <c:crosses val="autoZero"/>
        <c:auto val="1"/>
        <c:lblAlgn val="ctr"/>
        <c:lblOffset val="100"/>
        <c:noMultiLvlLbl val="0"/>
      </c:catAx>
      <c:valAx>
        <c:axId val="172517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6800"/>
        <c:crosses val="autoZero"/>
        <c:crossBetween val="between"/>
      </c:valAx>
      <c:spPr>
        <a:noFill/>
        <a:ln>
          <a:noFill/>
        </a:ln>
        <a:effectLst/>
      </c:spPr>
    </c:plotArea>
    <c:legend>
      <c:legendPos val="r"/>
      <c:overlay val="0"/>
      <c:spPr>
        <a:solidFill>
          <a:schemeClr val="bg1"/>
        </a:solidFill>
        <a:ln>
          <a:solidFill>
            <a:srgbClr val="7030A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Monthly Sales Trend</a:t>
            </a:r>
          </a:p>
          <a:p>
            <a:pPr>
              <a:defRPr/>
            </a:pPr>
            <a:endParaRPr lang="en-US"/>
          </a:p>
        </c:rich>
      </c:tx>
      <c:layout>
        <c:manualLayout>
          <c:xMode val="edge"/>
          <c:yMode val="edge"/>
          <c:x val="0.3342222222222222"/>
          <c:y val="8.6942257217847763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sales'!$B$20</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sales'!$B$21:$B$33</c:f>
              <c:numCache>
                <c:formatCode>General</c:formatCode>
                <c:ptCount val="12"/>
                <c:pt idx="0">
                  <c:v>60</c:v>
                </c:pt>
                <c:pt idx="1">
                  <c:v>99</c:v>
                </c:pt>
                <c:pt idx="2">
                  <c:v>40</c:v>
                </c:pt>
                <c:pt idx="3">
                  <c:v>48</c:v>
                </c:pt>
                <c:pt idx="4">
                  <c:v>99</c:v>
                </c:pt>
                <c:pt idx="5">
                  <c:v>60</c:v>
                </c:pt>
                <c:pt idx="6">
                  <c:v>40</c:v>
                </c:pt>
                <c:pt idx="7">
                  <c:v>84</c:v>
                </c:pt>
                <c:pt idx="8">
                  <c:v>57</c:v>
                </c:pt>
                <c:pt idx="9">
                  <c:v>78</c:v>
                </c:pt>
                <c:pt idx="10">
                  <c:v>52</c:v>
                </c:pt>
                <c:pt idx="11">
                  <c:v>54</c:v>
                </c:pt>
              </c:numCache>
            </c:numRef>
          </c:val>
          <c:smooth val="0"/>
          <c:extLst>
            <c:ext xmlns:c16="http://schemas.microsoft.com/office/drawing/2014/chart" uri="{C3380CC4-5D6E-409C-BE32-E72D297353CC}">
              <c16:uniqueId val="{00000000-BBA5-4B70-8A3C-70D9415D4DD7}"/>
            </c:ext>
          </c:extLst>
        </c:ser>
        <c:dLbls>
          <c:showLegendKey val="0"/>
          <c:showVal val="0"/>
          <c:showCatName val="0"/>
          <c:showSerName val="0"/>
          <c:showPercent val="0"/>
          <c:showBubbleSize val="0"/>
        </c:dLbls>
        <c:marker val="1"/>
        <c:smooth val="0"/>
        <c:axId val="1725180560"/>
        <c:axId val="1725164720"/>
      </c:lineChart>
      <c:catAx>
        <c:axId val="172518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64720"/>
        <c:crosses val="autoZero"/>
        <c:auto val="1"/>
        <c:lblAlgn val="ctr"/>
        <c:lblOffset val="100"/>
        <c:noMultiLvlLbl val="0"/>
      </c:catAx>
      <c:valAx>
        <c:axId val="17251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0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country and Payment Method</a:t>
            </a:r>
          </a:p>
        </c:rich>
      </c:tx>
      <c:layout>
        <c:manualLayout>
          <c:xMode val="edge"/>
          <c:yMode val="edge"/>
          <c:x val="0.15438888888888888"/>
          <c:y val="0.12860892388451445"/>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sales'!$B$36:$B$37</c:f>
              <c:strCache>
                <c:ptCount val="1"/>
                <c:pt idx="0">
                  <c:v>Cash</c:v>
                </c:pt>
              </c:strCache>
            </c:strRef>
          </c:tx>
          <c:spPr>
            <a:solidFill>
              <a:srgbClr val="FF0000"/>
            </a:solidFill>
            <a:ln>
              <a:noFill/>
            </a:ln>
            <a:effectLst/>
          </c:spPr>
          <c:invertIfNegative val="0"/>
          <c:cat>
            <c:strRef>
              <c:f>'pivot table sales'!$A$38:$A$43</c:f>
              <c:strCache>
                <c:ptCount val="5"/>
                <c:pt idx="0">
                  <c:v>Egypt</c:v>
                </c:pt>
                <c:pt idx="1">
                  <c:v>KSA</c:v>
                </c:pt>
                <c:pt idx="2">
                  <c:v>Morocco</c:v>
                </c:pt>
                <c:pt idx="3">
                  <c:v>Qatar</c:v>
                </c:pt>
                <c:pt idx="4">
                  <c:v>UAE</c:v>
                </c:pt>
              </c:strCache>
            </c:strRef>
          </c:cat>
          <c:val>
            <c:numRef>
              <c:f>'pivot table sales'!$B$38:$B$43</c:f>
              <c:numCache>
                <c:formatCode>General</c:formatCode>
                <c:ptCount val="5"/>
                <c:pt idx="0">
                  <c:v>10</c:v>
                </c:pt>
                <c:pt idx="1">
                  <c:v>11</c:v>
                </c:pt>
                <c:pt idx="2">
                  <c:v>8</c:v>
                </c:pt>
                <c:pt idx="3">
                  <c:v>9</c:v>
                </c:pt>
                <c:pt idx="4">
                  <c:v>7</c:v>
                </c:pt>
              </c:numCache>
            </c:numRef>
          </c:val>
          <c:extLst>
            <c:ext xmlns:c16="http://schemas.microsoft.com/office/drawing/2014/chart" uri="{C3380CC4-5D6E-409C-BE32-E72D297353CC}">
              <c16:uniqueId val="{00000000-F8F9-461B-A548-E54FBE55B1B6}"/>
            </c:ext>
          </c:extLst>
        </c:ser>
        <c:ser>
          <c:idx val="1"/>
          <c:order val="1"/>
          <c:tx>
            <c:strRef>
              <c:f>'pivot table sales'!$C$36:$C$37</c:f>
              <c:strCache>
                <c:ptCount val="1"/>
                <c:pt idx="0">
                  <c:v>Credit Card</c:v>
                </c:pt>
              </c:strCache>
            </c:strRef>
          </c:tx>
          <c:spPr>
            <a:solidFill>
              <a:srgbClr val="7030A0"/>
            </a:solidFill>
            <a:ln>
              <a:noFill/>
            </a:ln>
            <a:effectLst/>
          </c:spPr>
          <c:invertIfNegative val="0"/>
          <c:cat>
            <c:strRef>
              <c:f>'pivot table sales'!$A$38:$A$43</c:f>
              <c:strCache>
                <c:ptCount val="5"/>
                <c:pt idx="0">
                  <c:v>Egypt</c:v>
                </c:pt>
                <c:pt idx="1">
                  <c:v>KSA</c:v>
                </c:pt>
                <c:pt idx="2">
                  <c:v>Morocco</c:v>
                </c:pt>
                <c:pt idx="3">
                  <c:v>Qatar</c:v>
                </c:pt>
                <c:pt idx="4">
                  <c:v>UAE</c:v>
                </c:pt>
              </c:strCache>
            </c:strRef>
          </c:cat>
          <c:val>
            <c:numRef>
              <c:f>'pivot table sales'!$C$38:$C$43</c:f>
              <c:numCache>
                <c:formatCode>General</c:formatCode>
                <c:ptCount val="5"/>
                <c:pt idx="0">
                  <c:v>10</c:v>
                </c:pt>
                <c:pt idx="1">
                  <c:v>16</c:v>
                </c:pt>
                <c:pt idx="2">
                  <c:v>13</c:v>
                </c:pt>
                <c:pt idx="3">
                  <c:v>10</c:v>
                </c:pt>
                <c:pt idx="4">
                  <c:v>11</c:v>
                </c:pt>
              </c:numCache>
            </c:numRef>
          </c:val>
          <c:extLst>
            <c:ext xmlns:c16="http://schemas.microsoft.com/office/drawing/2014/chart" uri="{C3380CC4-5D6E-409C-BE32-E72D297353CC}">
              <c16:uniqueId val="{00000004-F8F9-461B-A548-E54FBE55B1B6}"/>
            </c:ext>
          </c:extLst>
        </c:ser>
        <c:ser>
          <c:idx val="2"/>
          <c:order val="2"/>
          <c:tx>
            <c:strRef>
              <c:f>'pivot table sales'!$D$36:$D$37</c:f>
              <c:strCache>
                <c:ptCount val="1"/>
                <c:pt idx="0">
                  <c:v>PayPal</c:v>
                </c:pt>
              </c:strCache>
            </c:strRef>
          </c:tx>
          <c:spPr>
            <a:solidFill>
              <a:srgbClr val="00B050"/>
            </a:solidFill>
            <a:ln>
              <a:noFill/>
            </a:ln>
            <a:effectLst/>
          </c:spPr>
          <c:invertIfNegative val="0"/>
          <c:cat>
            <c:strRef>
              <c:f>'pivot table sales'!$A$38:$A$43</c:f>
              <c:strCache>
                <c:ptCount val="5"/>
                <c:pt idx="0">
                  <c:v>Egypt</c:v>
                </c:pt>
                <c:pt idx="1">
                  <c:v>KSA</c:v>
                </c:pt>
                <c:pt idx="2">
                  <c:v>Morocco</c:v>
                </c:pt>
                <c:pt idx="3">
                  <c:v>Qatar</c:v>
                </c:pt>
                <c:pt idx="4">
                  <c:v>UAE</c:v>
                </c:pt>
              </c:strCache>
            </c:strRef>
          </c:cat>
          <c:val>
            <c:numRef>
              <c:f>'pivot table sales'!$D$38:$D$43</c:f>
              <c:numCache>
                <c:formatCode>General</c:formatCode>
                <c:ptCount val="5"/>
                <c:pt idx="0">
                  <c:v>13</c:v>
                </c:pt>
                <c:pt idx="1">
                  <c:v>4</c:v>
                </c:pt>
                <c:pt idx="2">
                  <c:v>8</c:v>
                </c:pt>
                <c:pt idx="3">
                  <c:v>11</c:v>
                </c:pt>
                <c:pt idx="4">
                  <c:v>9</c:v>
                </c:pt>
              </c:numCache>
            </c:numRef>
          </c:val>
          <c:extLst>
            <c:ext xmlns:c16="http://schemas.microsoft.com/office/drawing/2014/chart" uri="{C3380CC4-5D6E-409C-BE32-E72D297353CC}">
              <c16:uniqueId val="{00000006-F8F9-461B-A548-E54FBE55B1B6}"/>
            </c:ext>
          </c:extLst>
        </c:ser>
        <c:dLbls>
          <c:showLegendKey val="0"/>
          <c:showVal val="0"/>
          <c:showCatName val="0"/>
          <c:showSerName val="0"/>
          <c:showPercent val="0"/>
          <c:showBubbleSize val="0"/>
        </c:dLbls>
        <c:gapWidth val="219"/>
        <c:overlap val="-27"/>
        <c:axId val="1725189200"/>
        <c:axId val="1725189680"/>
      </c:barChart>
      <c:catAx>
        <c:axId val="172518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9680"/>
        <c:crosses val="autoZero"/>
        <c:auto val="1"/>
        <c:lblAlgn val="ctr"/>
        <c:lblOffset val="100"/>
        <c:noMultiLvlLbl val="0"/>
      </c:catAx>
      <c:valAx>
        <c:axId val="172518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92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sales'!$B$3</c:f>
              <c:strCache>
                <c:ptCount val="1"/>
                <c:pt idx="0">
                  <c:v>Total</c:v>
                </c:pt>
              </c:strCache>
            </c:strRef>
          </c:tx>
          <c:spPr>
            <a:solidFill>
              <a:srgbClr val="FF0000"/>
            </a:solidFill>
            <a:ln>
              <a:noFill/>
            </a:ln>
            <a:effectLst/>
            <a:sp3d/>
          </c:spPr>
          <c:invertIfNegative val="0"/>
          <c:cat>
            <c:strRef>
              <c:f>'pivot table sales'!$A$4:$A$8</c:f>
              <c:strCache>
                <c:ptCount val="4"/>
                <c:pt idx="0">
                  <c:v>East</c:v>
                </c:pt>
                <c:pt idx="1">
                  <c:v>North</c:v>
                </c:pt>
                <c:pt idx="2">
                  <c:v>South</c:v>
                </c:pt>
                <c:pt idx="3">
                  <c:v>West</c:v>
                </c:pt>
              </c:strCache>
            </c:strRef>
          </c:cat>
          <c:val>
            <c:numRef>
              <c:f>'pivot table sales'!$B$4:$B$8</c:f>
              <c:numCache>
                <c:formatCode>General</c:formatCode>
                <c:ptCount val="4"/>
                <c:pt idx="0">
                  <c:v>49897</c:v>
                </c:pt>
                <c:pt idx="1">
                  <c:v>55459</c:v>
                </c:pt>
                <c:pt idx="2">
                  <c:v>58975</c:v>
                </c:pt>
                <c:pt idx="3">
                  <c:v>44027</c:v>
                </c:pt>
              </c:numCache>
            </c:numRef>
          </c:val>
          <c:extLst>
            <c:ext xmlns:c16="http://schemas.microsoft.com/office/drawing/2014/chart" uri="{C3380CC4-5D6E-409C-BE32-E72D297353CC}">
              <c16:uniqueId val="{00000000-2AE0-49A8-9F22-0D8DE7B726A2}"/>
            </c:ext>
          </c:extLst>
        </c:ser>
        <c:dLbls>
          <c:showLegendKey val="0"/>
          <c:showVal val="0"/>
          <c:showCatName val="0"/>
          <c:showSerName val="0"/>
          <c:showPercent val="0"/>
          <c:showBubbleSize val="0"/>
        </c:dLbls>
        <c:gapWidth val="150"/>
        <c:shape val="box"/>
        <c:axId val="1725173840"/>
        <c:axId val="1725176240"/>
        <c:axId val="0"/>
      </c:bar3DChart>
      <c:catAx>
        <c:axId val="172517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76240"/>
        <c:crosses val="autoZero"/>
        <c:auto val="1"/>
        <c:lblAlgn val="ctr"/>
        <c:lblOffset val="100"/>
        <c:noMultiLvlLbl val="0"/>
      </c:catAx>
      <c:valAx>
        <c:axId val="17251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7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Monthly Sales Trend</a:t>
            </a:r>
          </a:p>
          <a:p>
            <a:pPr>
              <a:defRPr/>
            </a:pPr>
            <a:endParaRPr lang="en-US"/>
          </a:p>
        </c:rich>
      </c:tx>
      <c:layout>
        <c:manualLayout>
          <c:xMode val="edge"/>
          <c:yMode val="edge"/>
          <c:x val="0.3342222222222222"/>
          <c:y val="8.6942257217847763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sales'!$B$20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sales'!$B$21:$B$33</c:f>
              <c:numCache>
                <c:formatCode>General</c:formatCode>
                <c:ptCount val="12"/>
                <c:pt idx="0">
                  <c:v>60</c:v>
                </c:pt>
                <c:pt idx="1">
                  <c:v>99</c:v>
                </c:pt>
                <c:pt idx="2">
                  <c:v>40</c:v>
                </c:pt>
                <c:pt idx="3">
                  <c:v>48</c:v>
                </c:pt>
                <c:pt idx="4">
                  <c:v>99</c:v>
                </c:pt>
                <c:pt idx="5">
                  <c:v>60</c:v>
                </c:pt>
                <c:pt idx="6">
                  <c:v>40</c:v>
                </c:pt>
                <c:pt idx="7">
                  <c:v>84</c:v>
                </c:pt>
                <c:pt idx="8">
                  <c:v>57</c:v>
                </c:pt>
                <c:pt idx="9">
                  <c:v>78</c:v>
                </c:pt>
                <c:pt idx="10">
                  <c:v>52</c:v>
                </c:pt>
                <c:pt idx="11">
                  <c:v>54</c:v>
                </c:pt>
              </c:numCache>
            </c:numRef>
          </c:val>
          <c:smooth val="0"/>
          <c:extLst>
            <c:ext xmlns:c16="http://schemas.microsoft.com/office/drawing/2014/chart" uri="{C3380CC4-5D6E-409C-BE32-E72D297353CC}">
              <c16:uniqueId val="{00000002-821E-420F-84BF-42C7DDFA1F78}"/>
            </c:ext>
          </c:extLst>
        </c:ser>
        <c:dLbls>
          <c:showLegendKey val="0"/>
          <c:showVal val="0"/>
          <c:showCatName val="0"/>
          <c:showSerName val="0"/>
          <c:showPercent val="0"/>
          <c:showBubbleSize val="0"/>
        </c:dLbls>
        <c:marker val="1"/>
        <c:smooth val="0"/>
        <c:axId val="1725180560"/>
        <c:axId val="1725164720"/>
      </c:lineChart>
      <c:catAx>
        <c:axId val="172518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64720"/>
        <c:crosses val="autoZero"/>
        <c:auto val="1"/>
        <c:lblAlgn val="ctr"/>
        <c:lblOffset val="100"/>
        <c:noMultiLvlLbl val="0"/>
      </c:catAx>
      <c:valAx>
        <c:axId val="17251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0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By category</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81364829396319E-2"/>
          <c:y val="0.14249781277340332"/>
          <c:w val="0.68233027121609802"/>
          <c:h val="0.75010279965004378"/>
        </c:manualLayout>
      </c:layout>
      <c:barChart>
        <c:barDir val="bar"/>
        <c:grouping val="clustered"/>
        <c:varyColors val="0"/>
        <c:ser>
          <c:idx val="0"/>
          <c:order val="0"/>
          <c:tx>
            <c:strRef>
              <c:f>'pivot table sales'!$B$12:$B$13</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sales'!$B$14</c:f>
              <c:numCache>
                <c:formatCode>General</c:formatCode>
                <c:ptCount val="1"/>
                <c:pt idx="0">
                  <c:v>168</c:v>
                </c:pt>
              </c:numCache>
            </c:numRef>
          </c:val>
          <c:extLst>
            <c:ext xmlns:c16="http://schemas.microsoft.com/office/drawing/2014/chart" uri="{C3380CC4-5D6E-409C-BE32-E72D297353CC}">
              <c16:uniqueId val="{00000000-22A9-42F0-8B9F-11353A02435C}"/>
            </c:ext>
          </c:extLst>
        </c:ser>
        <c:ser>
          <c:idx val="1"/>
          <c:order val="1"/>
          <c:tx>
            <c:strRef>
              <c:f>'pivot table sales'!$C$12:$C$13</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sales'!$C$14</c:f>
              <c:numCache>
                <c:formatCode>General</c:formatCode>
                <c:ptCount val="1"/>
                <c:pt idx="0">
                  <c:v>172</c:v>
                </c:pt>
              </c:numCache>
            </c:numRef>
          </c:val>
          <c:extLst>
            <c:ext xmlns:c16="http://schemas.microsoft.com/office/drawing/2014/chart" uri="{C3380CC4-5D6E-409C-BE32-E72D297353CC}">
              <c16:uniqueId val="{00000005-DD1C-466D-90A3-D1F79058999E}"/>
            </c:ext>
          </c:extLst>
        </c:ser>
        <c:ser>
          <c:idx val="2"/>
          <c:order val="2"/>
          <c:tx>
            <c:strRef>
              <c:f>'pivot table sales'!$D$12:$D$13</c:f>
              <c:strCache>
                <c:ptCount val="1"/>
                <c:pt idx="0">
                  <c:v>Home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sales'!$D$14</c:f>
              <c:numCache>
                <c:formatCode>General</c:formatCode>
                <c:ptCount val="1"/>
                <c:pt idx="0">
                  <c:v>192</c:v>
                </c:pt>
              </c:numCache>
            </c:numRef>
          </c:val>
          <c:extLst>
            <c:ext xmlns:c16="http://schemas.microsoft.com/office/drawing/2014/chart" uri="{C3380CC4-5D6E-409C-BE32-E72D297353CC}">
              <c16:uniqueId val="{00000006-DD1C-466D-90A3-D1F79058999E}"/>
            </c:ext>
          </c:extLst>
        </c:ser>
        <c:ser>
          <c:idx val="3"/>
          <c:order val="3"/>
          <c:tx>
            <c:strRef>
              <c:f>'pivot table sales'!$E$12:$E$13</c:f>
              <c:strCache>
                <c:ptCount val="1"/>
                <c:pt idx="0">
                  <c:v>Sports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sales'!$A$14</c:f>
              <c:strCache>
                <c:ptCount val="1"/>
                <c:pt idx="0">
                  <c:v>Total</c:v>
                </c:pt>
              </c:strCache>
            </c:strRef>
          </c:cat>
          <c:val>
            <c:numRef>
              <c:f>'pivot table sales'!$E$14</c:f>
              <c:numCache>
                <c:formatCode>General</c:formatCode>
                <c:ptCount val="1"/>
                <c:pt idx="0">
                  <c:v>239</c:v>
                </c:pt>
              </c:numCache>
            </c:numRef>
          </c:val>
          <c:extLst>
            <c:ext xmlns:c16="http://schemas.microsoft.com/office/drawing/2014/chart" uri="{C3380CC4-5D6E-409C-BE32-E72D297353CC}">
              <c16:uniqueId val="{00000009-DD1C-466D-90A3-D1F79058999E}"/>
            </c:ext>
          </c:extLst>
        </c:ser>
        <c:dLbls>
          <c:dLblPos val="outEnd"/>
          <c:showLegendKey val="0"/>
          <c:showVal val="1"/>
          <c:showCatName val="0"/>
          <c:showSerName val="0"/>
          <c:showPercent val="0"/>
          <c:showBubbleSize val="0"/>
        </c:dLbls>
        <c:gapWidth val="182"/>
        <c:axId val="1725186800"/>
        <c:axId val="1725170480"/>
      </c:barChart>
      <c:catAx>
        <c:axId val="172518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70480"/>
        <c:crosses val="autoZero"/>
        <c:auto val="1"/>
        <c:lblAlgn val="ctr"/>
        <c:lblOffset val="100"/>
        <c:noMultiLvlLbl val="0"/>
      </c:catAx>
      <c:valAx>
        <c:axId val="172517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[Sales_Analysis_Project.xlsx]pivot table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country and Payment Method</a:t>
            </a:r>
          </a:p>
        </c:rich>
      </c:tx>
      <c:layout>
        <c:manualLayout>
          <c:xMode val="edge"/>
          <c:yMode val="edge"/>
          <c:x val="0.15438888888888888"/>
          <c:y val="0.12860892388451445"/>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sales'!$B$36:$B$37</c:f>
              <c:strCache>
                <c:ptCount val="1"/>
                <c:pt idx="0">
                  <c:v>Cash</c:v>
                </c:pt>
              </c:strCache>
            </c:strRef>
          </c:tx>
          <c:spPr>
            <a:solidFill>
              <a:schemeClr val="accent1"/>
            </a:solidFill>
            <a:ln>
              <a:noFill/>
            </a:ln>
            <a:effectLst/>
          </c:spPr>
          <c:invertIfNegative val="0"/>
          <c:cat>
            <c:strRef>
              <c:f>'pivot table sales'!$A$38:$A$43</c:f>
              <c:strCache>
                <c:ptCount val="5"/>
                <c:pt idx="0">
                  <c:v>Egypt</c:v>
                </c:pt>
                <c:pt idx="1">
                  <c:v>KSA</c:v>
                </c:pt>
                <c:pt idx="2">
                  <c:v>Morocco</c:v>
                </c:pt>
                <c:pt idx="3">
                  <c:v>Qatar</c:v>
                </c:pt>
                <c:pt idx="4">
                  <c:v>UAE</c:v>
                </c:pt>
              </c:strCache>
            </c:strRef>
          </c:cat>
          <c:val>
            <c:numRef>
              <c:f>'pivot table sales'!$B$38:$B$43</c:f>
              <c:numCache>
                <c:formatCode>General</c:formatCode>
                <c:ptCount val="5"/>
                <c:pt idx="0">
                  <c:v>10</c:v>
                </c:pt>
                <c:pt idx="1">
                  <c:v>11</c:v>
                </c:pt>
                <c:pt idx="2">
                  <c:v>8</c:v>
                </c:pt>
                <c:pt idx="3">
                  <c:v>9</c:v>
                </c:pt>
                <c:pt idx="4">
                  <c:v>7</c:v>
                </c:pt>
              </c:numCache>
            </c:numRef>
          </c:val>
          <c:extLst>
            <c:ext xmlns:c16="http://schemas.microsoft.com/office/drawing/2014/chart" uri="{C3380CC4-5D6E-409C-BE32-E72D297353CC}">
              <c16:uniqueId val="{00000000-4F81-460D-A297-6B4F3F0B1D8F}"/>
            </c:ext>
          </c:extLst>
        </c:ser>
        <c:ser>
          <c:idx val="1"/>
          <c:order val="1"/>
          <c:tx>
            <c:strRef>
              <c:f>'pivot table sales'!$C$36:$C$37</c:f>
              <c:strCache>
                <c:ptCount val="1"/>
                <c:pt idx="0">
                  <c:v>Credit Card</c:v>
                </c:pt>
              </c:strCache>
            </c:strRef>
          </c:tx>
          <c:spPr>
            <a:solidFill>
              <a:schemeClr val="accent2"/>
            </a:solidFill>
            <a:ln>
              <a:noFill/>
            </a:ln>
            <a:effectLst/>
          </c:spPr>
          <c:invertIfNegative val="0"/>
          <c:cat>
            <c:strRef>
              <c:f>'pivot table sales'!$A$38:$A$43</c:f>
              <c:strCache>
                <c:ptCount val="5"/>
                <c:pt idx="0">
                  <c:v>Egypt</c:v>
                </c:pt>
                <c:pt idx="1">
                  <c:v>KSA</c:v>
                </c:pt>
                <c:pt idx="2">
                  <c:v>Morocco</c:v>
                </c:pt>
                <c:pt idx="3">
                  <c:v>Qatar</c:v>
                </c:pt>
                <c:pt idx="4">
                  <c:v>UAE</c:v>
                </c:pt>
              </c:strCache>
            </c:strRef>
          </c:cat>
          <c:val>
            <c:numRef>
              <c:f>'pivot table sales'!$C$38:$C$43</c:f>
              <c:numCache>
                <c:formatCode>General</c:formatCode>
                <c:ptCount val="5"/>
                <c:pt idx="0">
                  <c:v>10</c:v>
                </c:pt>
                <c:pt idx="1">
                  <c:v>16</c:v>
                </c:pt>
                <c:pt idx="2">
                  <c:v>13</c:v>
                </c:pt>
                <c:pt idx="3">
                  <c:v>10</c:v>
                </c:pt>
                <c:pt idx="4">
                  <c:v>11</c:v>
                </c:pt>
              </c:numCache>
            </c:numRef>
          </c:val>
          <c:extLst>
            <c:ext xmlns:c16="http://schemas.microsoft.com/office/drawing/2014/chart" uri="{C3380CC4-5D6E-409C-BE32-E72D297353CC}">
              <c16:uniqueId val="{00000004-4F81-460D-A297-6B4F3F0B1D8F}"/>
            </c:ext>
          </c:extLst>
        </c:ser>
        <c:ser>
          <c:idx val="2"/>
          <c:order val="2"/>
          <c:tx>
            <c:strRef>
              <c:f>'pivot table sales'!$D$36:$D$37</c:f>
              <c:strCache>
                <c:ptCount val="1"/>
                <c:pt idx="0">
                  <c:v>PayPal</c:v>
                </c:pt>
              </c:strCache>
            </c:strRef>
          </c:tx>
          <c:spPr>
            <a:solidFill>
              <a:schemeClr val="accent3"/>
            </a:solidFill>
            <a:ln>
              <a:noFill/>
            </a:ln>
            <a:effectLst/>
          </c:spPr>
          <c:invertIfNegative val="0"/>
          <c:cat>
            <c:strRef>
              <c:f>'pivot table sales'!$A$38:$A$43</c:f>
              <c:strCache>
                <c:ptCount val="5"/>
                <c:pt idx="0">
                  <c:v>Egypt</c:v>
                </c:pt>
                <c:pt idx="1">
                  <c:v>KSA</c:v>
                </c:pt>
                <c:pt idx="2">
                  <c:v>Morocco</c:v>
                </c:pt>
                <c:pt idx="3">
                  <c:v>Qatar</c:v>
                </c:pt>
                <c:pt idx="4">
                  <c:v>UAE</c:v>
                </c:pt>
              </c:strCache>
            </c:strRef>
          </c:cat>
          <c:val>
            <c:numRef>
              <c:f>'pivot table sales'!$D$38:$D$43</c:f>
              <c:numCache>
                <c:formatCode>General</c:formatCode>
                <c:ptCount val="5"/>
                <c:pt idx="0">
                  <c:v>13</c:v>
                </c:pt>
                <c:pt idx="1">
                  <c:v>4</c:v>
                </c:pt>
                <c:pt idx="2">
                  <c:v>8</c:v>
                </c:pt>
                <c:pt idx="3">
                  <c:v>11</c:v>
                </c:pt>
                <c:pt idx="4">
                  <c:v>9</c:v>
                </c:pt>
              </c:numCache>
            </c:numRef>
          </c:val>
          <c:extLst>
            <c:ext xmlns:c16="http://schemas.microsoft.com/office/drawing/2014/chart" uri="{C3380CC4-5D6E-409C-BE32-E72D297353CC}">
              <c16:uniqueId val="{00000006-4F81-460D-A297-6B4F3F0B1D8F}"/>
            </c:ext>
          </c:extLst>
        </c:ser>
        <c:dLbls>
          <c:showLegendKey val="0"/>
          <c:showVal val="0"/>
          <c:showCatName val="0"/>
          <c:showSerName val="0"/>
          <c:showPercent val="0"/>
          <c:showBubbleSize val="0"/>
        </c:dLbls>
        <c:gapWidth val="219"/>
        <c:overlap val="-27"/>
        <c:axId val="1725189200"/>
        <c:axId val="1725189680"/>
      </c:barChart>
      <c:catAx>
        <c:axId val="172518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9680"/>
        <c:crosses val="autoZero"/>
        <c:auto val="1"/>
        <c:lblAlgn val="ctr"/>
        <c:lblOffset val="100"/>
        <c:noMultiLvlLbl val="0"/>
      </c:catAx>
      <c:valAx>
        <c:axId val="172518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18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361948</xdr:colOff>
      <xdr:row>22</xdr:row>
      <xdr:rowOff>152400</xdr:rowOff>
    </xdr:from>
    <xdr:to>
      <xdr:col>18</xdr:col>
      <xdr:colOff>47380</xdr:colOff>
      <xdr:row>41</xdr:row>
      <xdr:rowOff>79130</xdr:rowOff>
    </xdr:to>
    <xdr:graphicFrame macro="">
      <xdr:nvGraphicFramePr>
        <xdr:cNvPr id="3" name="Chart 2">
          <a:extLst>
            <a:ext uri="{FF2B5EF4-FFF2-40B4-BE49-F238E27FC236}">
              <a16:creationId xmlns:a16="http://schemas.microsoft.com/office/drawing/2014/main" id="{18599ED2-3D8E-455B-94DE-FAC5A3102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251068</xdr:colOff>
      <xdr:row>22</xdr:row>
      <xdr:rowOff>136280</xdr:rowOff>
    </xdr:from>
    <xdr:to>
      <xdr:col>38</xdr:col>
      <xdr:colOff>248138</xdr:colOff>
      <xdr:row>42</xdr:row>
      <xdr:rowOff>38588</xdr:rowOff>
    </xdr:to>
    <xdr:graphicFrame macro="">
      <xdr:nvGraphicFramePr>
        <xdr:cNvPr id="7" name="Chart 6">
          <a:extLst>
            <a:ext uri="{FF2B5EF4-FFF2-40B4-BE49-F238E27FC236}">
              <a16:creationId xmlns:a16="http://schemas.microsoft.com/office/drawing/2014/main" id="{6FD50E06-E693-4351-9FBF-3295184F5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43</xdr:row>
      <xdr:rowOff>3908</xdr:rowOff>
    </xdr:from>
    <xdr:to>
      <xdr:col>18</xdr:col>
      <xdr:colOff>479669</xdr:colOff>
      <xdr:row>62</xdr:row>
      <xdr:rowOff>53391</xdr:rowOff>
    </xdr:to>
    <xdr:graphicFrame macro="">
      <xdr:nvGraphicFramePr>
        <xdr:cNvPr id="8" name="Chart 7">
          <a:extLst>
            <a:ext uri="{FF2B5EF4-FFF2-40B4-BE49-F238E27FC236}">
              <a16:creationId xmlns:a16="http://schemas.microsoft.com/office/drawing/2014/main" id="{4FB5B9EE-1F51-4097-80E0-DE1EF75E6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207490</xdr:colOff>
      <xdr:row>42</xdr:row>
      <xdr:rowOff>144160</xdr:rowOff>
    </xdr:from>
    <xdr:to>
      <xdr:col>41</xdr:col>
      <xdr:colOff>88900</xdr:colOff>
      <xdr:row>62</xdr:row>
      <xdr:rowOff>22470</xdr:rowOff>
    </xdr:to>
    <xdr:graphicFrame macro="">
      <xdr:nvGraphicFramePr>
        <xdr:cNvPr id="9" name="Chart 8">
          <a:extLst>
            <a:ext uri="{FF2B5EF4-FFF2-40B4-BE49-F238E27FC236}">
              <a16:creationId xmlns:a16="http://schemas.microsoft.com/office/drawing/2014/main" id="{87709857-1C94-4621-AD89-8006492C7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44</xdr:col>
      <xdr:colOff>58615</xdr:colOff>
      <xdr:row>23</xdr:row>
      <xdr:rowOff>53532</xdr:rowOff>
    </xdr:from>
    <xdr:to>
      <xdr:col>47</xdr:col>
      <xdr:colOff>58616</xdr:colOff>
      <xdr:row>36</xdr:row>
      <xdr:rowOff>126926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C555176-EEF4-A220-1D52-542C5A6216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200329" y="4226389"/>
              <a:ext cx="1850573" cy="2431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230289</xdr:colOff>
      <xdr:row>24</xdr:row>
      <xdr:rowOff>21845</xdr:rowOff>
    </xdr:from>
    <xdr:to>
      <xdr:col>42</xdr:col>
      <xdr:colOff>508000</xdr:colOff>
      <xdr:row>35</xdr:row>
      <xdr:rowOff>158614</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782A9C3-4115-3F30-1797-62B4107342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287718" y="4376131"/>
              <a:ext cx="2128282" cy="2132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214922</xdr:colOff>
      <xdr:row>23</xdr:row>
      <xdr:rowOff>31613</xdr:rowOff>
    </xdr:from>
    <xdr:to>
      <xdr:col>52</xdr:col>
      <xdr:colOff>371230</xdr:colOff>
      <xdr:row>36</xdr:row>
      <xdr:rowOff>148845</xdr:rowOff>
    </xdr:to>
    <mc:AlternateContent xmlns:mc="http://schemas.openxmlformats.org/markup-compatibility/2006">
      <mc:Choice xmlns:a14="http://schemas.microsoft.com/office/drawing/2010/main" Requires="a14">
        <xdr:graphicFrame macro="">
          <xdr:nvGraphicFramePr>
            <xdr:cNvPr id="12" name="Months (Order Date)">
              <a:extLst>
                <a:ext uri="{FF2B5EF4-FFF2-40B4-BE49-F238E27FC236}">
                  <a16:creationId xmlns:a16="http://schemas.microsoft.com/office/drawing/2014/main" id="{BD095FD8-0CFD-1C88-493A-BF7FB29F297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9824065" y="4204470"/>
              <a:ext cx="2623736" cy="2475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551344</xdr:colOff>
      <xdr:row>41</xdr:row>
      <xdr:rowOff>83601</xdr:rowOff>
    </xdr:from>
    <xdr:to>
      <xdr:col>44</xdr:col>
      <xdr:colOff>541405</xdr:colOff>
      <xdr:row>55</xdr:row>
      <xdr:rowOff>14187</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C9E1D92C-6FDE-4D07-957F-EC05BA79FF9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5842487" y="7522172"/>
              <a:ext cx="1840632" cy="2470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579315</xdr:colOff>
      <xdr:row>41</xdr:row>
      <xdr:rowOff>48894</xdr:rowOff>
    </xdr:from>
    <xdr:to>
      <xdr:col>49</xdr:col>
      <xdr:colOff>304927</xdr:colOff>
      <xdr:row>55</xdr:row>
      <xdr:rowOff>48895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136ABC78-AC4C-41F4-A17E-A47B62122A2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8337886" y="7487465"/>
              <a:ext cx="2193041" cy="2540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571500</xdr:colOff>
      <xdr:row>0</xdr:row>
      <xdr:rowOff>0</xdr:rowOff>
    </xdr:from>
    <xdr:to>
      <xdr:col>15</xdr:col>
      <xdr:colOff>160020</xdr:colOff>
      <xdr:row>16</xdr:row>
      <xdr:rowOff>129540</xdr:rowOff>
    </xdr:to>
    <xdr:graphicFrame macro="">
      <xdr:nvGraphicFramePr>
        <xdr:cNvPr id="2" name="Chart 1">
          <a:extLst>
            <a:ext uri="{FF2B5EF4-FFF2-40B4-BE49-F238E27FC236}">
              <a16:creationId xmlns:a16="http://schemas.microsoft.com/office/drawing/2014/main" id="{1105FB0E-7DDA-6196-AC68-661CBCCF7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670560</xdr:colOff>
      <xdr:row>31</xdr:row>
      <xdr:rowOff>118110</xdr:rowOff>
    </xdr:from>
    <xdr:to>
      <xdr:col>14</xdr:col>
      <xdr:colOff>480060</xdr:colOff>
      <xdr:row>46</xdr:row>
      <xdr:rowOff>118110</xdr:rowOff>
    </xdr:to>
    <xdr:graphicFrame macro="">
      <xdr:nvGraphicFramePr>
        <xdr:cNvPr id="3" name="Chart 2">
          <a:extLst>
            <a:ext uri="{FF2B5EF4-FFF2-40B4-BE49-F238E27FC236}">
              <a16:creationId xmlns:a16="http://schemas.microsoft.com/office/drawing/2014/main" id="{DAA47209-C016-4040-5D33-00ED0DEE8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609600</xdr:colOff>
      <xdr:row>16</xdr:row>
      <xdr:rowOff>125730</xdr:rowOff>
    </xdr:from>
    <xdr:to>
      <xdr:col>14</xdr:col>
      <xdr:colOff>419100</xdr:colOff>
      <xdr:row>31</xdr:row>
      <xdr:rowOff>125730</xdr:rowOff>
    </xdr:to>
    <xdr:graphicFrame macro="">
      <xdr:nvGraphicFramePr>
        <xdr:cNvPr id="4" name="Chart 3">
          <a:extLst>
            <a:ext uri="{FF2B5EF4-FFF2-40B4-BE49-F238E27FC236}">
              <a16:creationId xmlns:a16="http://schemas.microsoft.com/office/drawing/2014/main" id="{CB2E7576-B386-75EB-C2FE-B1D3AD749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731520</xdr:colOff>
      <xdr:row>46</xdr:row>
      <xdr:rowOff>87630</xdr:rowOff>
    </xdr:from>
    <xdr:to>
      <xdr:col>14</xdr:col>
      <xdr:colOff>541020</xdr:colOff>
      <xdr:row>61</xdr:row>
      <xdr:rowOff>87630</xdr:rowOff>
    </xdr:to>
    <xdr:graphicFrame macro="">
      <xdr:nvGraphicFramePr>
        <xdr:cNvPr id="5" name="Chart 4">
          <a:extLst>
            <a:ext uri="{FF2B5EF4-FFF2-40B4-BE49-F238E27FC236}">
              <a16:creationId xmlns:a16="http://schemas.microsoft.com/office/drawing/2014/main" id="{0C59F13C-1BE8-BAE1-A609-AF0956F08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53340</xdr:colOff>
      <xdr:row>19</xdr:row>
      <xdr:rowOff>7620</xdr:rowOff>
    </xdr:from>
    <xdr:to>
      <xdr:col>11</xdr:col>
      <xdr:colOff>190500</xdr:colOff>
      <xdr:row>32</xdr:row>
      <xdr:rowOff>97155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7AF71617-8DE2-FFE2-579D-77AB8F73C5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743700" y="3482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0.462625462962" createdVersion="8" refreshedVersion="8" minRefreshableVersion="3" recordCount="150" xr:uid="{1164AC24-3233-43A9-8F62-914FDB7D3D3E}">
  <cacheSource type="worksheet">
    <worksheetSource ref="A1:J151" sheet="Sales Data"/>
  </cacheSource>
  <cacheFields count="12">
    <cacheField name="Order ID" numFmtId="0">
      <sharedItems/>
    </cacheField>
    <cacheField name="Order Date" numFmtId="14">
      <sharedItems containsSemiMixedTypes="0" containsNonDate="0" containsDate="1" containsString="0" minDate="2023-01-01T00:00:00" maxDate="2023-12-29T00:00:00" count="124">
        <d v="2023-10-02T00:00:00"/>
        <d v="2023-01-24T00:00:00"/>
        <d v="2023-02-24T00:00:00"/>
        <d v="2023-01-02T00:00:00"/>
        <d v="2023-06-28T00:00:00"/>
        <d v="2023-06-09T00:00:00"/>
        <d v="2023-10-31T00:00:00"/>
        <d v="2023-03-20T00:00:00"/>
        <d v="2023-11-15T00:00:00"/>
        <d v="2023-08-25T00:00:00"/>
        <d v="2023-06-24T00:00:00"/>
        <d v="2023-01-20T00:00:00"/>
        <d v="2023-10-27T00:00:00"/>
        <d v="2023-05-23T00:00:00"/>
        <d v="2023-01-30T00:00:00"/>
        <d v="2023-02-04T00:00:00"/>
        <d v="2023-06-27T00:00:00"/>
        <d v="2023-02-09T00:00:00"/>
        <d v="2023-09-01T00:00:00"/>
        <d v="2023-05-25T00:00:00"/>
        <d v="2023-04-14T00:00:00"/>
        <d v="2023-11-08T00:00:00"/>
        <d v="2023-08-10T00:00:00"/>
        <d v="2023-02-27T00:00:00"/>
        <d v="2023-09-21T00:00:00"/>
        <d v="2023-08-12T00:00:00"/>
        <d v="2023-12-25T00:00:00"/>
        <d v="2023-01-18T00:00:00"/>
        <d v="2023-05-29T00:00:00"/>
        <d v="2023-10-19T00:00:00"/>
        <d v="2023-06-25T00:00:00"/>
        <d v="2023-11-12T00:00:00"/>
        <d v="2023-11-21T00:00:00"/>
        <d v="2023-11-23T00:00:00"/>
        <d v="2023-04-26T00:00:00"/>
        <d v="2023-09-04T00:00:00"/>
        <d v="2023-12-28T00:00:00"/>
        <d v="2023-01-01T00:00:00"/>
        <d v="2023-09-13T00:00:00"/>
        <d v="2023-06-07T00:00:00"/>
        <d v="2023-02-10T00:00:00"/>
        <d v="2023-12-17T00:00:00"/>
        <d v="2023-03-30T00:00:00"/>
        <d v="2023-03-17T00:00:00"/>
        <d v="2023-03-08T00:00:00"/>
        <d v="2023-11-02T00:00:00"/>
        <d v="2023-01-04T00:00:00"/>
        <d v="2023-10-30T00:00:00"/>
        <d v="2023-11-27T00:00:00"/>
        <d v="2023-05-31T00:00:00"/>
        <d v="2023-08-09T00:00:00"/>
        <d v="2023-10-20T00:00:00"/>
        <d v="2023-11-25T00:00:00"/>
        <d v="2023-06-17T00:00:00"/>
        <d v="2023-07-26T00:00:00"/>
        <d v="2023-07-13T00:00:00"/>
        <d v="2023-03-26T00:00:00"/>
        <d v="2023-10-23T00:00:00"/>
        <d v="2023-11-04T00:00:00"/>
        <d v="2023-01-09T00:00:00"/>
        <d v="2023-05-07T00:00:00"/>
        <d v="2023-05-04T00:00:00"/>
        <d v="2023-07-04T00:00:00"/>
        <d v="2023-03-07T00:00:00"/>
        <d v="2023-05-24T00:00:00"/>
        <d v="2023-03-09T00:00:00"/>
        <d v="2023-05-06T00:00:00"/>
        <d v="2023-02-12T00:00:00"/>
        <d v="2023-09-12T00:00:00"/>
        <d v="2023-03-31T00:00:00"/>
        <d v="2023-05-28T00:00:00"/>
        <d v="2023-05-18T00:00:00"/>
        <d v="2023-06-23T00:00:00"/>
        <d v="2023-09-09T00:00:00"/>
        <d v="2023-02-15T00:00:00"/>
        <d v="2023-09-25T00:00:00"/>
        <d v="2023-12-23T00:00:00"/>
        <d v="2023-09-10T00:00:00"/>
        <d v="2023-07-12T00:00:00"/>
        <d v="2023-08-06T00:00:00"/>
        <d v="2023-05-05T00:00:00"/>
        <d v="2023-10-17T00:00:00"/>
        <d v="2023-07-14T00:00:00"/>
        <d v="2023-01-11T00:00:00"/>
        <d v="2023-12-26T00:00:00"/>
        <d v="2023-02-03T00:00:00"/>
        <d v="2023-06-19T00:00:00"/>
        <d v="2023-12-22T00:00:00"/>
        <d v="2023-09-14T00:00:00"/>
        <d v="2023-04-10T00:00:00"/>
        <d v="2023-02-22T00:00:00"/>
        <d v="2023-09-20T00:00:00"/>
        <d v="2023-06-15T00:00:00"/>
        <d v="2023-05-30T00:00:00"/>
        <d v="2023-08-19T00:00:00"/>
        <d v="2023-08-08T00:00:00"/>
        <d v="2023-12-19T00:00:00"/>
        <d v="2023-04-21T00:00:00"/>
        <d v="2023-08-28T00:00:00"/>
        <d v="2023-06-05T00:00:00"/>
        <d v="2023-04-27T00:00:00"/>
        <d v="2023-10-07T00:00:00"/>
        <d v="2023-06-20T00:00:00"/>
        <d v="2023-10-25T00:00:00"/>
        <d v="2023-07-29T00:00:00"/>
        <d v="2023-11-03T00:00:00"/>
        <d v="2023-05-17T00:00:00"/>
        <d v="2023-04-01T00:00:00"/>
        <d v="2023-07-23T00:00:00"/>
        <d v="2023-02-18T00:00:00"/>
        <d v="2023-07-24T00:00:00"/>
        <d v="2023-08-23T00:00:00"/>
        <d v="2023-10-12T00:00:00"/>
        <d v="2023-08-14T00:00:00"/>
        <d v="2023-12-24T00:00:00"/>
        <d v="2023-08-05T00:00:00"/>
        <d v="2023-05-22T00:00:00"/>
        <d v="2023-06-14T00:00:00"/>
        <d v="2023-05-21T00:00:00"/>
        <d v="2023-04-11T00:00:00"/>
        <d v="2023-04-06T00:00:00"/>
        <d v="2023-11-24T00:00:00"/>
        <d v="2023-04-04T00:00:00"/>
        <d v="2023-02-13T00:00:00"/>
      </sharedItems>
      <fieldGroup par="11"/>
    </cacheField>
    <cacheField name="Region" numFmtId="0">
      <sharedItems count="4">
        <s v="North"/>
        <s v="South"/>
        <s v="West"/>
        <s v="East"/>
      </sharedItems>
    </cacheField>
    <cacheField name="Country" numFmtId="0">
      <sharedItems count="5">
        <s v="Egypt"/>
        <s v="UAE"/>
        <s v="Qatar"/>
        <s v="KSA"/>
        <s v="Morocco"/>
      </sharedItems>
    </cacheField>
    <cacheField name="Category" numFmtId="0">
      <sharedItems count="4">
        <s v="Electronics"/>
        <s v="Clothing"/>
        <s v="Home"/>
        <s v="Sports"/>
      </sharedItems>
    </cacheField>
    <cacheField name="Product" numFmtId="0">
      <sharedItems count="8">
        <s v="Shoes"/>
        <s v="Laptop"/>
        <s v="Headphones"/>
        <s v="Watch"/>
        <s v="Football"/>
        <s v="Table"/>
        <s v="T-Shirt"/>
        <s v="Sofa"/>
      </sharedItems>
    </cacheField>
    <cacheField name="Quantity" numFmtId="0">
      <sharedItems containsSemiMixedTypes="0" containsString="0" containsNumber="1" containsInteger="1" minValue="1" maxValue="10" count="10">
        <n v="3"/>
        <n v="7"/>
        <n v="9"/>
        <n v="5"/>
        <n v="1"/>
        <n v="2"/>
        <n v="6"/>
        <n v="10"/>
        <n v="8"/>
        <n v="4"/>
      </sharedItems>
    </cacheField>
    <cacheField name="Unit Price" numFmtId="0">
      <sharedItems containsSemiMixedTypes="0" containsString="0" containsNumber="1" containsInteger="1" minValue="17" maxValue="494"/>
    </cacheField>
    <cacheField name="Total" numFmtId="0">
      <sharedItems containsSemiMixedTypes="0" containsString="0" containsNumber="1" containsInteger="1" minValue="51" maxValue="4890"/>
    </cacheField>
    <cacheField name="Payment Method" numFmtId="0">
      <sharedItems count="3">
        <s v="Credit Card"/>
        <s v="PayPal"/>
        <s v="Cash"/>
      </sharedItems>
    </cacheField>
    <cacheField name="Days (Order Date)" numFmtId="0" databaseField="0">
      <fieldGroup base="1">
        <rangePr groupBy="days" startDate="2023-01-01T00:00:00" endDate="2023-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Order Date)" numFmtId="0" databaseField="0">
      <fieldGroup base="1">
        <rangePr groupBy="months" startDate="2023-01-01T00:00:00" endDate="2023-12-29T00:00:00"/>
        <groupItems count="14">
          <s v="&lt;1/1/2023"/>
          <s v="Jan"/>
          <s v="Feb"/>
          <s v="Mar"/>
          <s v="Apr"/>
          <s v="May"/>
          <s v="Jun"/>
          <s v="Jul"/>
          <s v="Aug"/>
          <s v="Sep"/>
          <s v="Oct"/>
          <s v="Nov"/>
          <s v="Dec"/>
          <s v="&gt;12/29/2023"/>
        </groupItems>
      </fieldGroup>
    </cacheField>
  </cacheFields>
  <extLst>
    <ext xmlns:x14="http://schemas.microsoft.com/office/spreadsheetml/2009/9/main" uri="{725AE2AE-9491-48be-B2B4-4EB974FC3084}">
      <x14:pivotCacheDefinition pivotCacheId="232386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RD0001"/>
    <x v="0"/>
    <x v="0"/>
    <x v="0"/>
    <x v="0"/>
    <x v="0"/>
    <x v="0"/>
    <n v="60"/>
    <n v="180"/>
    <x v="0"/>
  </r>
  <r>
    <s v="ORD0002"/>
    <x v="1"/>
    <x v="0"/>
    <x v="1"/>
    <x v="1"/>
    <x v="1"/>
    <x v="1"/>
    <n v="236"/>
    <n v="1652"/>
    <x v="0"/>
  </r>
  <r>
    <s v="ORD0003"/>
    <x v="2"/>
    <x v="1"/>
    <x v="1"/>
    <x v="0"/>
    <x v="2"/>
    <x v="2"/>
    <n v="56"/>
    <n v="504"/>
    <x v="0"/>
  </r>
  <r>
    <s v="ORD0004"/>
    <x v="3"/>
    <x v="0"/>
    <x v="2"/>
    <x v="2"/>
    <x v="3"/>
    <x v="0"/>
    <n v="191"/>
    <n v="573"/>
    <x v="1"/>
  </r>
  <r>
    <s v="ORD0005"/>
    <x v="4"/>
    <x v="1"/>
    <x v="0"/>
    <x v="3"/>
    <x v="0"/>
    <x v="3"/>
    <n v="135"/>
    <n v="675"/>
    <x v="2"/>
  </r>
  <r>
    <s v="ORD0006"/>
    <x v="5"/>
    <x v="2"/>
    <x v="3"/>
    <x v="0"/>
    <x v="4"/>
    <x v="4"/>
    <n v="140"/>
    <n v="140"/>
    <x v="0"/>
  </r>
  <r>
    <s v="ORD0007"/>
    <x v="6"/>
    <x v="3"/>
    <x v="0"/>
    <x v="2"/>
    <x v="3"/>
    <x v="4"/>
    <n v="485"/>
    <n v="485"/>
    <x v="0"/>
  </r>
  <r>
    <s v="ORD0008"/>
    <x v="7"/>
    <x v="0"/>
    <x v="0"/>
    <x v="1"/>
    <x v="0"/>
    <x v="5"/>
    <n v="105"/>
    <n v="210"/>
    <x v="1"/>
  </r>
  <r>
    <s v="ORD0009"/>
    <x v="8"/>
    <x v="1"/>
    <x v="0"/>
    <x v="2"/>
    <x v="0"/>
    <x v="4"/>
    <n v="339"/>
    <n v="339"/>
    <x v="0"/>
  </r>
  <r>
    <s v="ORD0010"/>
    <x v="9"/>
    <x v="0"/>
    <x v="4"/>
    <x v="2"/>
    <x v="1"/>
    <x v="1"/>
    <n v="17"/>
    <n v="119"/>
    <x v="1"/>
  </r>
  <r>
    <s v="ORD0011"/>
    <x v="10"/>
    <x v="1"/>
    <x v="0"/>
    <x v="1"/>
    <x v="5"/>
    <x v="0"/>
    <n v="157"/>
    <n v="471"/>
    <x v="2"/>
  </r>
  <r>
    <s v="ORD0012"/>
    <x v="11"/>
    <x v="2"/>
    <x v="0"/>
    <x v="2"/>
    <x v="3"/>
    <x v="6"/>
    <n v="126"/>
    <n v="756"/>
    <x v="0"/>
  </r>
  <r>
    <s v="ORD0013"/>
    <x v="12"/>
    <x v="0"/>
    <x v="0"/>
    <x v="3"/>
    <x v="1"/>
    <x v="2"/>
    <n v="337"/>
    <n v="3033"/>
    <x v="1"/>
  </r>
  <r>
    <s v="ORD0014"/>
    <x v="13"/>
    <x v="3"/>
    <x v="0"/>
    <x v="2"/>
    <x v="4"/>
    <x v="5"/>
    <n v="399"/>
    <n v="798"/>
    <x v="1"/>
  </r>
  <r>
    <s v="ORD0015"/>
    <x v="14"/>
    <x v="2"/>
    <x v="0"/>
    <x v="1"/>
    <x v="3"/>
    <x v="4"/>
    <n v="170"/>
    <n v="170"/>
    <x v="2"/>
  </r>
  <r>
    <s v="ORD0016"/>
    <x v="15"/>
    <x v="1"/>
    <x v="2"/>
    <x v="2"/>
    <x v="0"/>
    <x v="5"/>
    <n v="59"/>
    <n v="118"/>
    <x v="0"/>
  </r>
  <r>
    <s v="ORD0017"/>
    <x v="16"/>
    <x v="2"/>
    <x v="3"/>
    <x v="1"/>
    <x v="6"/>
    <x v="0"/>
    <n v="49"/>
    <n v="147"/>
    <x v="2"/>
  </r>
  <r>
    <s v="ORD0018"/>
    <x v="17"/>
    <x v="2"/>
    <x v="1"/>
    <x v="1"/>
    <x v="0"/>
    <x v="3"/>
    <n v="219"/>
    <n v="1095"/>
    <x v="0"/>
  </r>
  <r>
    <s v="ORD0019"/>
    <x v="18"/>
    <x v="1"/>
    <x v="4"/>
    <x v="0"/>
    <x v="1"/>
    <x v="7"/>
    <n v="274"/>
    <n v="2740"/>
    <x v="1"/>
  </r>
  <r>
    <s v="ORD0020"/>
    <x v="19"/>
    <x v="2"/>
    <x v="1"/>
    <x v="1"/>
    <x v="3"/>
    <x v="5"/>
    <n v="114"/>
    <n v="228"/>
    <x v="1"/>
  </r>
  <r>
    <s v="ORD0021"/>
    <x v="15"/>
    <x v="3"/>
    <x v="3"/>
    <x v="0"/>
    <x v="1"/>
    <x v="2"/>
    <n v="55"/>
    <n v="495"/>
    <x v="0"/>
  </r>
  <r>
    <s v="ORD0022"/>
    <x v="20"/>
    <x v="0"/>
    <x v="4"/>
    <x v="1"/>
    <x v="3"/>
    <x v="3"/>
    <n v="269"/>
    <n v="1345"/>
    <x v="2"/>
  </r>
  <r>
    <s v="ORD0023"/>
    <x v="21"/>
    <x v="2"/>
    <x v="4"/>
    <x v="3"/>
    <x v="5"/>
    <x v="5"/>
    <n v="224"/>
    <n v="448"/>
    <x v="2"/>
  </r>
  <r>
    <s v="ORD0024"/>
    <x v="22"/>
    <x v="1"/>
    <x v="3"/>
    <x v="3"/>
    <x v="5"/>
    <x v="7"/>
    <n v="482"/>
    <n v="4820"/>
    <x v="2"/>
  </r>
  <r>
    <s v="ORD0025"/>
    <x v="23"/>
    <x v="0"/>
    <x v="2"/>
    <x v="3"/>
    <x v="3"/>
    <x v="4"/>
    <n v="451"/>
    <n v="451"/>
    <x v="0"/>
  </r>
  <r>
    <s v="ORD0026"/>
    <x v="24"/>
    <x v="0"/>
    <x v="1"/>
    <x v="2"/>
    <x v="2"/>
    <x v="5"/>
    <n v="361"/>
    <n v="722"/>
    <x v="2"/>
  </r>
  <r>
    <s v="ORD0027"/>
    <x v="25"/>
    <x v="2"/>
    <x v="3"/>
    <x v="0"/>
    <x v="7"/>
    <x v="5"/>
    <n v="425"/>
    <n v="850"/>
    <x v="2"/>
  </r>
  <r>
    <s v="ORD0028"/>
    <x v="26"/>
    <x v="2"/>
    <x v="1"/>
    <x v="0"/>
    <x v="0"/>
    <x v="8"/>
    <n v="344"/>
    <n v="2752"/>
    <x v="1"/>
  </r>
  <r>
    <s v="ORD0029"/>
    <x v="27"/>
    <x v="2"/>
    <x v="3"/>
    <x v="1"/>
    <x v="3"/>
    <x v="6"/>
    <n v="311"/>
    <n v="1866"/>
    <x v="2"/>
  </r>
  <r>
    <s v="ORD0030"/>
    <x v="28"/>
    <x v="1"/>
    <x v="3"/>
    <x v="2"/>
    <x v="7"/>
    <x v="6"/>
    <n v="220"/>
    <n v="1320"/>
    <x v="2"/>
  </r>
  <r>
    <s v="ORD0031"/>
    <x v="29"/>
    <x v="3"/>
    <x v="4"/>
    <x v="1"/>
    <x v="0"/>
    <x v="4"/>
    <n v="149"/>
    <n v="149"/>
    <x v="0"/>
  </r>
  <r>
    <s v="ORD0032"/>
    <x v="9"/>
    <x v="0"/>
    <x v="0"/>
    <x v="1"/>
    <x v="5"/>
    <x v="9"/>
    <n v="147"/>
    <n v="588"/>
    <x v="1"/>
  </r>
  <r>
    <s v="ORD0033"/>
    <x v="30"/>
    <x v="3"/>
    <x v="3"/>
    <x v="3"/>
    <x v="3"/>
    <x v="5"/>
    <n v="398"/>
    <n v="796"/>
    <x v="0"/>
  </r>
  <r>
    <s v="ORD0034"/>
    <x v="31"/>
    <x v="0"/>
    <x v="2"/>
    <x v="2"/>
    <x v="4"/>
    <x v="3"/>
    <n v="306"/>
    <n v="1530"/>
    <x v="0"/>
  </r>
  <r>
    <s v="ORD0035"/>
    <x v="32"/>
    <x v="3"/>
    <x v="0"/>
    <x v="0"/>
    <x v="5"/>
    <x v="3"/>
    <n v="260"/>
    <n v="1300"/>
    <x v="0"/>
  </r>
  <r>
    <s v="ORD0036"/>
    <x v="33"/>
    <x v="3"/>
    <x v="4"/>
    <x v="0"/>
    <x v="5"/>
    <x v="0"/>
    <n v="205"/>
    <n v="615"/>
    <x v="0"/>
  </r>
  <r>
    <s v="ORD0037"/>
    <x v="34"/>
    <x v="2"/>
    <x v="0"/>
    <x v="1"/>
    <x v="0"/>
    <x v="4"/>
    <n v="95"/>
    <n v="95"/>
    <x v="2"/>
  </r>
  <r>
    <s v="ORD0038"/>
    <x v="35"/>
    <x v="0"/>
    <x v="1"/>
    <x v="3"/>
    <x v="0"/>
    <x v="9"/>
    <n v="367"/>
    <n v="1468"/>
    <x v="2"/>
  </r>
  <r>
    <s v="ORD0039"/>
    <x v="36"/>
    <x v="3"/>
    <x v="1"/>
    <x v="3"/>
    <x v="6"/>
    <x v="1"/>
    <n v="162"/>
    <n v="1134"/>
    <x v="2"/>
  </r>
  <r>
    <s v="ORD0040"/>
    <x v="37"/>
    <x v="1"/>
    <x v="4"/>
    <x v="0"/>
    <x v="7"/>
    <x v="6"/>
    <n v="208"/>
    <n v="1248"/>
    <x v="0"/>
  </r>
  <r>
    <s v="ORD0041"/>
    <x v="38"/>
    <x v="2"/>
    <x v="0"/>
    <x v="0"/>
    <x v="0"/>
    <x v="0"/>
    <n v="475"/>
    <n v="1425"/>
    <x v="1"/>
  </r>
  <r>
    <s v="ORD0042"/>
    <x v="39"/>
    <x v="2"/>
    <x v="1"/>
    <x v="0"/>
    <x v="5"/>
    <x v="9"/>
    <n v="263"/>
    <n v="1052"/>
    <x v="1"/>
  </r>
  <r>
    <s v="ORD0043"/>
    <x v="40"/>
    <x v="3"/>
    <x v="2"/>
    <x v="0"/>
    <x v="7"/>
    <x v="1"/>
    <n v="324"/>
    <n v="2268"/>
    <x v="0"/>
  </r>
  <r>
    <s v="ORD0044"/>
    <x v="41"/>
    <x v="3"/>
    <x v="0"/>
    <x v="2"/>
    <x v="2"/>
    <x v="9"/>
    <n v="156"/>
    <n v="624"/>
    <x v="0"/>
  </r>
  <r>
    <s v="ORD0045"/>
    <x v="42"/>
    <x v="0"/>
    <x v="1"/>
    <x v="3"/>
    <x v="5"/>
    <x v="4"/>
    <n v="350"/>
    <n v="350"/>
    <x v="0"/>
  </r>
  <r>
    <s v="ORD0046"/>
    <x v="43"/>
    <x v="3"/>
    <x v="0"/>
    <x v="2"/>
    <x v="3"/>
    <x v="7"/>
    <n v="485"/>
    <n v="4850"/>
    <x v="0"/>
  </r>
  <r>
    <s v="ORD0047"/>
    <x v="44"/>
    <x v="2"/>
    <x v="1"/>
    <x v="2"/>
    <x v="7"/>
    <x v="3"/>
    <n v="232"/>
    <n v="1160"/>
    <x v="0"/>
  </r>
  <r>
    <s v="ORD0048"/>
    <x v="45"/>
    <x v="3"/>
    <x v="1"/>
    <x v="3"/>
    <x v="5"/>
    <x v="2"/>
    <n v="22"/>
    <n v="198"/>
    <x v="2"/>
  </r>
  <r>
    <s v="ORD0049"/>
    <x v="12"/>
    <x v="0"/>
    <x v="2"/>
    <x v="0"/>
    <x v="5"/>
    <x v="9"/>
    <n v="160"/>
    <n v="640"/>
    <x v="2"/>
  </r>
  <r>
    <s v="ORD0050"/>
    <x v="46"/>
    <x v="2"/>
    <x v="2"/>
    <x v="3"/>
    <x v="0"/>
    <x v="4"/>
    <n v="494"/>
    <n v="494"/>
    <x v="2"/>
  </r>
  <r>
    <s v="ORD0051"/>
    <x v="47"/>
    <x v="3"/>
    <x v="4"/>
    <x v="0"/>
    <x v="5"/>
    <x v="0"/>
    <n v="17"/>
    <n v="51"/>
    <x v="0"/>
  </r>
  <r>
    <s v="ORD0052"/>
    <x v="20"/>
    <x v="1"/>
    <x v="3"/>
    <x v="0"/>
    <x v="3"/>
    <x v="0"/>
    <n v="300"/>
    <n v="900"/>
    <x v="2"/>
  </r>
  <r>
    <s v="ORD0053"/>
    <x v="48"/>
    <x v="2"/>
    <x v="3"/>
    <x v="1"/>
    <x v="1"/>
    <x v="0"/>
    <n v="309"/>
    <n v="927"/>
    <x v="1"/>
  </r>
  <r>
    <s v="ORD0054"/>
    <x v="49"/>
    <x v="2"/>
    <x v="4"/>
    <x v="0"/>
    <x v="5"/>
    <x v="0"/>
    <n v="304"/>
    <n v="912"/>
    <x v="0"/>
  </r>
  <r>
    <s v="ORD0055"/>
    <x v="50"/>
    <x v="1"/>
    <x v="1"/>
    <x v="3"/>
    <x v="4"/>
    <x v="8"/>
    <n v="325"/>
    <n v="2600"/>
    <x v="1"/>
  </r>
  <r>
    <s v="ORD0056"/>
    <x v="51"/>
    <x v="0"/>
    <x v="3"/>
    <x v="1"/>
    <x v="3"/>
    <x v="6"/>
    <n v="282"/>
    <n v="1692"/>
    <x v="2"/>
  </r>
  <r>
    <s v="ORD0057"/>
    <x v="52"/>
    <x v="0"/>
    <x v="0"/>
    <x v="3"/>
    <x v="2"/>
    <x v="5"/>
    <n v="302"/>
    <n v="604"/>
    <x v="2"/>
  </r>
  <r>
    <s v="ORD0058"/>
    <x v="53"/>
    <x v="2"/>
    <x v="3"/>
    <x v="2"/>
    <x v="6"/>
    <x v="2"/>
    <n v="477"/>
    <n v="4293"/>
    <x v="0"/>
  </r>
  <r>
    <s v="ORD0059"/>
    <x v="54"/>
    <x v="2"/>
    <x v="0"/>
    <x v="1"/>
    <x v="6"/>
    <x v="9"/>
    <n v="164"/>
    <n v="656"/>
    <x v="2"/>
  </r>
  <r>
    <s v="ORD0060"/>
    <x v="55"/>
    <x v="1"/>
    <x v="2"/>
    <x v="2"/>
    <x v="0"/>
    <x v="8"/>
    <n v="402"/>
    <n v="3216"/>
    <x v="2"/>
  </r>
  <r>
    <s v="ORD0061"/>
    <x v="56"/>
    <x v="0"/>
    <x v="4"/>
    <x v="1"/>
    <x v="3"/>
    <x v="3"/>
    <n v="113"/>
    <n v="565"/>
    <x v="1"/>
  </r>
  <r>
    <s v="ORD0062"/>
    <x v="7"/>
    <x v="3"/>
    <x v="4"/>
    <x v="2"/>
    <x v="1"/>
    <x v="8"/>
    <n v="342"/>
    <n v="2736"/>
    <x v="0"/>
  </r>
  <r>
    <s v="ORD0063"/>
    <x v="57"/>
    <x v="1"/>
    <x v="2"/>
    <x v="2"/>
    <x v="4"/>
    <x v="2"/>
    <n v="270"/>
    <n v="2430"/>
    <x v="1"/>
  </r>
  <r>
    <s v="ORD0064"/>
    <x v="58"/>
    <x v="2"/>
    <x v="4"/>
    <x v="2"/>
    <x v="3"/>
    <x v="5"/>
    <n v="227"/>
    <n v="454"/>
    <x v="1"/>
  </r>
  <r>
    <s v="ORD0065"/>
    <x v="59"/>
    <x v="1"/>
    <x v="4"/>
    <x v="3"/>
    <x v="5"/>
    <x v="8"/>
    <n v="293"/>
    <n v="2344"/>
    <x v="2"/>
  </r>
  <r>
    <s v="ORD0066"/>
    <x v="60"/>
    <x v="0"/>
    <x v="2"/>
    <x v="3"/>
    <x v="1"/>
    <x v="7"/>
    <n v="489"/>
    <n v="4890"/>
    <x v="2"/>
  </r>
  <r>
    <s v="ORD0067"/>
    <x v="40"/>
    <x v="3"/>
    <x v="2"/>
    <x v="2"/>
    <x v="5"/>
    <x v="1"/>
    <n v="86"/>
    <n v="602"/>
    <x v="2"/>
  </r>
  <r>
    <s v="ORD0068"/>
    <x v="61"/>
    <x v="0"/>
    <x v="3"/>
    <x v="1"/>
    <x v="4"/>
    <x v="8"/>
    <n v="313"/>
    <n v="2504"/>
    <x v="0"/>
  </r>
  <r>
    <s v="ORD0069"/>
    <x v="62"/>
    <x v="1"/>
    <x v="2"/>
    <x v="0"/>
    <x v="7"/>
    <x v="4"/>
    <n v="403"/>
    <n v="403"/>
    <x v="1"/>
  </r>
  <r>
    <s v="ORD0070"/>
    <x v="63"/>
    <x v="2"/>
    <x v="0"/>
    <x v="3"/>
    <x v="1"/>
    <x v="5"/>
    <n v="377"/>
    <n v="754"/>
    <x v="1"/>
  </r>
  <r>
    <s v="ORD0071"/>
    <x v="64"/>
    <x v="3"/>
    <x v="2"/>
    <x v="0"/>
    <x v="0"/>
    <x v="9"/>
    <n v="42"/>
    <n v="168"/>
    <x v="0"/>
  </r>
  <r>
    <s v="ORD0072"/>
    <x v="65"/>
    <x v="3"/>
    <x v="4"/>
    <x v="1"/>
    <x v="1"/>
    <x v="5"/>
    <n v="335"/>
    <n v="670"/>
    <x v="1"/>
  </r>
  <r>
    <s v="ORD0073"/>
    <x v="66"/>
    <x v="1"/>
    <x v="1"/>
    <x v="3"/>
    <x v="7"/>
    <x v="5"/>
    <n v="482"/>
    <n v="964"/>
    <x v="1"/>
  </r>
  <r>
    <s v="ORD0074"/>
    <x v="67"/>
    <x v="3"/>
    <x v="2"/>
    <x v="3"/>
    <x v="1"/>
    <x v="3"/>
    <n v="214"/>
    <n v="1070"/>
    <x v="1"/>
  </r>
  <r>
    <s v="ORD0075"/>
    <x v="68"/>
    <x v="2"/>
    <x v="2"/>
    <x v="2"/>
    <x v="3"/>
    <x v="4"/>
    <n v="257"/>
    <n v="257"/>
    <x v="1"/>
  </r>
  <r>
    <s v="ORD0076"/>
    <x v="69"/>
    <x v="1"/>
    <x v="0"/>
    <x v="3"/>
    <x v="2"/>
    <x v="4"/>
    <n v="447"/>
    <n v="447"/>
    <x v="2"/>
  </r>
  <r>
    <s v="ORD0077"/>
    <x v="70"/>
    <x v="1"/>
    <x v="2"/>
    <x v="3"/>
    <x v="1"/>
    <x v="8"/>
    <n v="256"/>
    <n v="2048"/>
    <x v="1"/>
  </r>
  <r>
    <s v="ORD0078"/>
    <x v="71"/>
    <x v="0"/>
    <x v="2"/>
    <x v="1"/>
    <x v="7"/>
    <x v="6"/>
    <n v="348"/>
    <n v="2088"/>
    <x v="2"/>
  </r>
  <r>
    <s v="ORD0079"/>
    <x v="64"/>
    <x v="0"/>
    <x v="2"/>
    <x v="0"/>
    <x v="1"/>
    <x v="6"/>
    <n v="47"/>
    <n v="282"/>
    <x v="0"/>
  </r>
  <r>
    <s v="ORD0080"/>
    <x v="72"/>
    <x v="3"/>
    <x v="2"/>
    <x v="0"/>
    <x v="7"/>
    <x v="9"/>
    <n v="405"/>
    <n v="1620"/>
    <x v="2"/>
  </r>
  <r>
    <s v="ORD0081"/>
    <x v="73"/>
    <x v="2"/>
    <x v="2"/>
    <x v="2"/>
    <x v="2"/>
    <x v="3"/>
    <n v="363"/>
    <n v="1815"/>
    <x v="0"/>
  </r>
  <r>
    <s v="ORD0082"/>
    <x v="74"/>
    <x v="2"/>
    <x v="0"/>
    <x v="3"/>
    <x v="3"/>
    <x v="0"/>
    <n v="108"/>
    <n v="324"/>
    <x v="2"/>
  </r>
  <r>
    <s v="ORD0083"/>
    <x v="17"/>
    <x v="3"/>
    <x v="4"/>
    <x v="1"/>
    <x v="0"/>
    <x v="2"/>
    <n v="306"/>
    <n v="2754"/>
    <x v="2"/>
  </r>
  <r>
    <s v="ORD0084"/>
    <x v="75"/>
    <x v="1"/>
    <x v="3"/>
    <x v="0"/>
    <x v="1"/>
    <x v="3"/>
    <n v="349"/>
    <n v="1745"/>
    <x v="2"/>
  </r>
  <r>
    <s v="ORD0085"/>
    <x v="76"/>
    <x v="0"/>
    <x v="4"/>
    <x v="1"/>
    <x v="1"/>
    <x v="9"/>
    <n v="188"/>
    <n v="752"/>
    <x v="1"/>
  </r>
  <r>
    <s v="ORD0086"/>
    <x v="77"/>
    <x v="1"/>
    <x v="4"/>
    <x v="3"/>
    <x v="5"/>
    <x v="2"/>
    <n v="108"/>
    <n v="972"/>
    <x v="2"/>
  </r>
  <r>
    <s v="ORD0087"/>
    <x v="78"/>
    <x v="1"/>
    <x v="4"/>
    <x v="3"/>
    <x v="5"/>
    <x v="8"/>
    <n v="460"/>
    <n v="3680"/>
    <x v="1"/>
  </r>
  <r>
    <s v="ORD0088"/>
    <x v="79"/>
    <x v="0"/>
    <x v="4"/>
    <x v="3"/>
    <x v="1"/>
    <x v="7"/>
    <n v="147"/>
    <n v="1470"/>
    <x v="1"/>
  </r>
  <r>
    <s v="ORD0089"/>
    <x v="80"/>
    <x v="0"/>
    <x v="1"/>
    <x v="2"/>
    <x v="0"/>
    <x v="2"/>
    <n v="169"/>
    <n v="1521"/>
    <x v="1"/>
  </r>
  <r>
    <s v="ORD0090"/>
    <x v="81"/>
    <x v="1"/>
    <x v="3"/>
    <x v="3"/>
    <x v="7"/>
    <x v="1"/>
    <n v="480"/>
    <n v="3360"/>
    <x v="0"/>
  </r>
  <r>
    <s v="ORD0091"/>
    <x v="82"/>
    <x v="3"/>
    <x v="3"/>
    <x v="3"/>
    <x v="4"/>
    <x v="5"/>
    <n v="417"/>
    <n v="834"/>
    <x v="0"/>
  </r>
  <r>
    <s v="ORD0092"/>
    <x v="83"/>
    <x v="3"/>
    <x v="4"/>
    <x v="3"/>
    <x v="0"/>
    <x v="0"/>
    <n v="344"/>
    <n v="1032"/>
    <x v="0"/>
  </r>
  <r>
    <s v="ORD0093"/>
    <x v="84"/>
    <x v="2"/>
    <x v="0"/>
    <x v="2"/>
    <x v="4"/>
    <x v="6"/>
    <n v="427"/>
    <n v="2562"/>
    <x v="1"/>
  </r>
  <r>
    <s v="ORD0094"/>
    <x v="85"/>
    <x v="0"/>
    <x v="3"/>
    <x v="1"/>
    <x v="5"/>
    <x v="4"/>
    <n v="145"/>
    <n v="145"/>
    <x v="0"/>
  </r>
  <r>
    <s v="ORD0095"/>
    <x v="86"/>
    <x v="0"/>
    <x v="3"/>
    <x v="3"/>
    <x v="4"/>
    <x v="9"/>
    <n v="345"/>
    <n v="1380"/>
    <x v="0"/>
  </r>
  <r>
    <s v="ORD0096"/>
    <x v="87"/>
    <x v="0"/>
    <x v="3"/>
    <x v="0"/>
    <x v="2"/>
    <x v="6"/>
    <n v="227"/>
    <n v="1362"/>
    <x v="2"/>
  </r>
  <r>
    <s v="ORD0097"/>
    <x v="88"/>
    <x v="2"/>
    <x v="0"/>
    <x v="2"/>
    <x v="1"/>
    <x v="1"/>
    <n v="47"/>
    <n v="329"/>
    <x v="1"/>
  </r>
  <r>
    <s v="ORD0098"/>
    <x v="89"/>
    <x v="0"/>
    <x v="4"/>
    <x v="2"/>
    <x v="4"/>
    <x v="2"/>
    <n v="427"/>
    <n v="3843"/>
    <x v="0"/>
  </r>
  <r>
    <s v="ORD0099"/>
    <x v="90"/>
    <x v="1"/>
    <x v="3"/>
    <x v="3"/>
    <x v="0"/>
    <x v="6"/>
    <n v="491"/>
    <n v="2946"/>
    <x v="0"/>
  </r>
  <r>
    <s v="ORD0100"/>
    <x v="91"/>
    <x v="2"/>
    <x v="3"/>
    <x v="0"/>
    <x v="5"/>
    <x v="9"/>
    <n v="326"/>
    <n v="1304"/>
    <x v="0"/>
  </r>
  <r>
    <s v="ORD0101"/>
    <x v="92"/>
    <x v="3"/>
    <x v="0"/>
    <x v="1"/>
    <x v="3"/>
    <x v="2"/>
    <n v="49"/>
    <n v="441"/>
    <x v="1"/>
  </r>
  <r>
    <s v="ORD0102"/>
    <x v="93"/>
    <x v="2"/>
    <x v="3"/>
    <x v="2"/>
    <x v="7"/>
    <x v="3"/>
    <n v="249"/>
    <n v="1245"/>
    <x v="0"/>
  </r>
  <r>
    <s v="ORD0103"/>
    <x v="81"/>
    <x v="2"/>
    <x v="4"/>
    <x v="1"/>
    <x v="7"/>
    <x v="6"/>
    <n v="207"/>
    <n v="1242"/>
    <x v="0"/>
  </r>
  <r>
    <s v="ORD0104"/>
    <x v="94"/>
    <x v="0"/>
    <x v="4"/>
    <x v="1"/>
    <x v="0"/>
    <x v="8"/>
    <n v="25"/>
    <n v="200"/>
    <x v="0"/>
  </r>
  <r>
    <s v="ORD0105"/>
    <x v="2"/>
    <x v="3"/>
    <x v="1"/>
    <x v="3"/>
    <x v="6"/>
    <x v="1"/>
    <n v="472"/>
    <n v="3304"/>
    <x v="0"/>
  </r>
  <r>
    <s v="ORD0106"/>
    <x v="95"/>
    <x v="3"/>
    <x v="1"/>
    <x v="3"/>
    <x v="6"/>
    <x v="6"/>
    <n v="152"/>
    <n v="912"/>
    <x v="1"/>
  </r>
  <r>
    <s v="ORD0107"/>
    <x v="96"/>
    <x v="3"/>
    <x v="3"/>
    <x v="1"/>
    <x v="4"/>
    <x v="4"/>
    <n v="159"/>
    <n v="159"/>
    <x v="1"/>
  </r>
  <r>
    <s v="ORD0108"/>
    <x v="37"/>
    <x v="3"/>
    <x v="1"/>
    <x v="0"/>
    <x v="7"/>
    <x v="7"/>
    <n v="302"/>
    <n v="3020"/>
    <x v="0"/>
  </r>
  <r>
    <s v="ORD0109"/>
    <x v="97"/>
    <x v="1"/>
    <x v="3"/>
    <x v="2"/>
    <x v="5"/>
    <x v="0"/>
    <n v="473"/>
    <n v="1419"/>
    <x v="2"/>
  </r>
  <r>
    <s v="ORD0110"/>
    <x v="20"/>
    <x v="2"/>
    <x v="4"/>
    <x v="1"/>
    <x v="7"/>
    <x v="5"/>
    <n v="142"/>
    <n v="284"/>
    <x v="0"/>
  </r>
  <r>
    <s v="ORD0111"/>
    <x v="98"/>
    <x v="3"/>
    <x v="0"/>
    <x v="3"/>
    <x v="3"/>
    <x v="8"/>
    <n v="328"/>
    <n v="2624"/>
    <x v="1"/>
  </r>
  <r>
    <s v="ORD0112"/>
    <x v="15"/>
    <x v="1"/>
    <x v="0"/>
    <x v="1"/>
    <x v="2"/>
    <x v="8"/>
    <n v="444"/>
    <n v="3552"/>
    <x v="0"/>
  </r>
  <r>
    <s v="ORD0113"/>
    <x v="99"/>
    <x v="1"/>
    <x v="1"/>
    <x v="2"/>
    <x v="1"/>
    <x v="4"/>
    <n v="263"/>
    <n v="263"/>
    <x v="0"/>
  </r>
  <r>
    <s v="ORD0114"/>
    <x v="100"/>
    <x v="1"/>
    <x v="2"/>
    <x v="2"/>
    <x v="0"/>
    <x v="5"/>
    <n v="190"/>
    <n v="380"/>
    <x v="1"/>
  </r>
  <r>
    <s v="ORD0115"/>
    <x v="87"/>
    <x v="1"/>
    <x v="3"/>
    <x v="3"/>
    <x v="7"/>
    <x v="7"/>
    <n v="201"/>
    <n v="2010"/>
    <x v="0"/>
  </r>
  <r>
    <s v="ORD0116"/>
    <x v="81"/>
    <x v="3"/>
    <x v="1"/>
    <x v="3"/>
    <x v="7"/>
    <x v="5"/>
    <n v="270"/>
    <n v="540"/>
    <x v="1"/>
  </r>
  <r>
    <s v="ORD0117"/>
    <x v="25"/>
    <x v="0"/>
    <x v="2"/>
    <x v="2"/>
    <x v="5"/>
    <x v="7"/>
    <n v="324"/>
    <n v="3240"/>
    <x v="1"/>
  </r>
  <r>
    <s v="ORD0118"/>
    <x v="65"/>
    <x v="1"/>
    <x v="0"/>
    <x v="3"/>
    <x v="0"/>
    <x v="9"/>
    <n v="160"/>
    <n v="640"/>
    <x v="1"/>
  </r>
  <r>
    <s v="ORD0119"/>
    <x v="101"/>
    <x v="3"/>
    <x v="3"/>
    <x v="3"/>
    <x v="6"/>
    <x v="6"/>
    <n v="47"/>
    <n v="282"/>
    <x v="1"/>
  </r>
  <r>
    <s v="ORD0120"/>
    <x v="102"/>
    <x v="0"/>
    <x v="2"/>
    <x v="0"/>
    <x v="3"/>
    <x v="3"/>
    <n v="206"/>
    <n v="1030"/>
    <x v="1"/>
  </r>
  <r>
    <s v="ORD0121"/>
    <x v="3"/>
    <x v="0"/>
    <x v="0"/>
    <x v="0"/>
    <x v="5"/>
    <x v="9"/>
    <n v="110"/>
    <n v="440"/>
    <x v="2"/>
  </r>
  <r>
    <s v="ORD0122"/>
    <x v="103"/>
    <x v="0"/>
    <x v="3"/>
    <x v="1"/>
    <x v="6"/>
    <x v="1"/>
    <n v="227"/>
    <n v="1589"/>
    <x v="0"/>
  </r>
  <r>
    <s v="ORD0123"/>
    <x v="104"/>
    <x v="3"/>
    <x v="4"/>
    <x v="1"/>
    <x v="0"/>
    <x v="5"/>
    <n v="384"/>
    <n v="768"/>
    <x v="2"/>
  </r>
  <r>
    <s v="ORD0124"/>
    <x v="105"/>
    <x v="3"/>
    <x v="1"/>
    <x v="0"/>
    <x v="6"/>
    <x v="7"/>
    <n v="360"/>
    <n v="3600"/>
    <x v="0"/>
  </r>
  <r>
    <s v="ORD0125"/>
    <x v="106"/>
    <x v="0"/>
    <x v="2"/>
    <x v="0"/>
    <x v="3"/>
    <x v="7"/>
    <n v="428"/>
    <n v="4280"/>
    <x v="2"/>
  </r>
  <r>
    <s v="ORD0126"/>
    <x v="107"/>
    <x v="0"/>
    <x v="0"/>
    <x v="1"/>
    <x v="6"/>
    <x v="9"/>
    <n v="310"/>
    <n v="1240"/>
    <x v="0"/>
  </r>
  <r>
    <s v="ORD0127"/>
    <x v="108"/>
    <x v="3"/>
    <x v="1"/>
    <x v="3"/>
    <x v="3"/>
    <x v="1"/>
    <n v="385"/>
    <n v="2695"/>
    <x v="1"/>
  </r>
  <r>
    <s v="ORD0128"/>
    <x v="109"/>
    <x v="0"/>
    <x v="2"/>
    <x v="3"/>
    <x v="0"/>
    <x v="0"/>
    <n v="466"/>
    <n v="1398"/>
    <x v="1"/>
  </r>
  <r>
    <s v="ORD0129"/>
    <x v="110"/>
    <x v="1"/>
    <x v="1"/>
    <x v="0"/>
    <x v="4"/>
    <x v="4"/>
    <n v="233"/>
    <n v="233"/>
    <x v="2"/>
  </r>
  <r>
    <s v="ORD0130"/>
    <x v="111"/>
    <x v="0"/>
    <x v="3"/>
    <x v="2"/>
    <x v="2"/>
    <x v="0"/>
    <n v="310"/>
    <n v="930"/>
    <x v="1"/>
  </r>
  <r>
    <s v="ORD0131"/>
    <x v="112"/>
    <x v="0"/>
    <x v="1"/>
    <x v="3"/>
    <x v="0"/>
    <x v="1"/>
    <n v="179"/>
    <n v="1253"/>
    <x v="2"/>
  </r>
  <r>
    <s v="ORD0132"/>
    <x v="113"/>
    <x v="1"/>
    <x v="1"/>
    <x v="3"/>
    <x v="0"/>
    <x v="6"/>
    <n v="100"/>
    <n v="600"/>
    <x v="0"/>
  </r>
  <r>
    <s v="ORD0133"/>
    <x v="112"/>
    <x v="0"/>
    <x v="0"/>
    <x v="3"/>
    <x v="4"/>
    <x v="1"/>
    <n v="292"/>
    <n v="2044"/>
    <x v="0"/>
  </r>
  <r>
    <s v="ORD0134"/>
    <x v="114"/>
    <x v="2"/>
    <x v="2"/>
    <x v="2"/>
    <x v="4"/>
    <x v="8"/>
    <n v="463"/>
    <n v="3704"/>
    <x v="0"/>
  </r>
  <r>
    <s v="ORD0135"/>
    <x v="115"/>
    <x v="3"/>
    <x v="2"/>
    <x v="1"/>
    <x v="3"/>
    <x v="5"/>
    <n v="191"/>
    <n v="382"/>
    <x v="0"/>
  </r>
  <r>
    <s v="ORD0136"/>
    <x v="66"/>
    <x v="3"/>
    <x v="0"/>
    <x v="3"/>
    <x v="3"/>
    <x v="2"/>
    <n v="479"/>
    <n v="4311"/>
    <x v="1"/>
  </r>
  <r>
    <s v="ORD0137"/>
    <x v="99"/>
    <x v="3"/>
    <x v="2"/>
    <x v="1"/>
    <x v="3"/>
    <x v="9"/>
    <n v="332"/>
    <n v="1328"/>
    <x v="1"/>
  </r>
  <r>
    <s v="ORD0138"/>
    <x v="90"/>
    <x v="1"/>
    <x v="4"/>
    <x v="2"/>
    <x v="5"/>
    <x v="2"/>
    <n v="321"/>
    <n v="2889"/>
    <x v="0"/>
  </r>
  <r>
    <s v="ORD0139"/>
    <x v="116"/>
    <x v="1"/>
    <x v="3"/>
    <x v="3"/>
    <x v="7"/>
    <x v="8"/>
    <n v="486"/>
    <n v="3888"/>
    <x v="0"/>
  </r>
  <r>
    <s v="ORD0140"/>
    <x v="117"/>
    <x v="1"/>
    <x v="1"/>
    <x v="1"/>
    <x v="2"/>
    <x v="6"/>
    <n v="104"/>
    <n v="624"/>
    <x v="0"/>
  </r>
  <r>
    <s v="ORD0141"/>
    <x v="118"/>
    <x v="3"/>
    <x v="4"/>
    <x v="1"/>
    <x v="7"/>
    <x v="4"/>
    <n v="282"/>
    <n v="282"/>
    <x v="2"/>
  </r>
  <r>
    <s v="ORD0142"/>
    <x v="54"/>
    <x v="2"/>
    <x v="4"/>
    <x v="0"/>
    <x v="3"/>
    <x v="1"/>
    <n v="106"/>
    <n v="742"/>
    <x v="0"/>
  </r>
  <r>
    <s v="ORD0143"/>
    <x v="119"/>
    <x v="2"/>
    <x v="2"/>
    <x v="0"/>
    <x v="3"/>
    <x v="9"/>
    <n v="102"/>
    <n v="408"/>
    <x v="2"/>
  </r>
  <r>
    <s v="ORD0144"/>
    <x v="27"/>
    <x v="2"/>
    <x v="0"/>
    <x v="1"/>
    <x v="5"/>
    <x v="3"/>
    <n v="375"/>
    <n v="1875"/>
    <x v="1"/>
  </r>
  <r>
    <s v="ORD0145"/>
    <x v="120"/>
    <x v="0"/>
    <x v="3"/>
    <x v="1"/>
    <x v="2"/>
    <x v="8"/>
    <n v="204"/>
    <n v="1632"/>
    <x v="2"/>
  </r>
  <r>
    <s v="ORD0146"/>
    <x v="24"/>
    <x v="1"/>
    <x v="3"/>
    <x v="2"/>
    <x v="1"/>
    <x v="1"/>
    <n v="199"/>
    <n v="1393"/>
    <x v="0"/>
  </r>
  <r>
    <s v="ORD0147"/>
    <x v="121"/>
    <x v="0"/>
    <x v="2"/>
    <x v="0"/>
    <x v="0"/>
    <x v="8"/>
    <n v="28"/>
    <n v="224"/>
    <x v="0"/>
  </r>
  <r>
    <s v="ORD0148"/>
    <x v="45"/>
    <x v="1"/>
    <x v="0"/>
    <x v="2"/>
    <x v="3"/>
    <x v="5"/>
    <n v="397"/>
    <n v="794"/>
    <x v="2"/>
  </r>
  <r>
    <s v="ORD0149"/>
    <x v="122"/>
    <x v="2"/>
    <x v="1"/>
    <x v="1"/>
    <x v="3"/>
    <x v="1"/>
    <n v="474"/>
    <n v="3318"/>
    <x v="2"/>
  </r>
  <r>
    <s v="ORD0150"/>
    <x v="123"/>
    <x v="2"/>
    <x v="4"/>
    <x v="2"/>
    <x v="2"/>
    <x v="8"/>
    <n v="493"/>
    <n v="394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FB0C7A-A724-4347-BD5E-29D0E848528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3" firstHeaderRow="1" firstDataRow="1" firstDataCol="1"/>
  <pivotFields count="12">
    <pivotField showAll="0"/>
    <pivotField axis="axisRow" numFmtId="14" showAll="0">
      <items count="125">
        <item x="37"/>
        <item x="3"/>
        <item x="46"/>
        <item x="59"/>
        <item x="83"/>
        <item x="27"/>
        <item x="11"/>
        <item x="1"/>
        <item x="14"/>
        <item x="85"/>
        <item x="15"/>
        <item x="17"/>
        <item x="40"/>
        <item x="67"/>
        <item x="123"/>
        <item x="74"/>
        <item x="109"/>
        <item x="90"/>
        <item x="2"/>
        <item x="23"/>
        <item x="63"/>
        <item x="44"/>
        <item x="65"/>
        <item x="43"/>
        <item x="7"/>
        <item x="56"/>
        <item x="42"/>
        <item x="69"/>
        <item x="107"/>
        <item x="122"/>
        <item x="120"/>
        <item x="89"/>
        <item x="119"/>
        <item x="20"/>
        <item x="97"/>
        <item x="34"/>
        <item x="100"/>
        <item x="61"/>
        <item x="80"/>
        <item x="66"/>
        <item x="60"/>
        <item x="106"/>
        <item x="71"/>
        <item x="118"/>
        <item x="116"/>
        <item x="13"/>
        <item x="64"/>
        <item x="19"/>
        <item x="70"/>
        <item x="28"/>
        <item x="93"/>
        <item x="49"/>
        <item x="99"/>
        <item x="39"/>
        <item x="5"/>
        <item x="117"/>
        <item x="92"/>
        <item x="53"/>
        <item x="86"/>
        <item x="102"/>
        <item x="72"/>
        <item x="10"/>
        <item x="30"/>
        <item x="16"/>
        <item x="4"/>
        <item x="62"/>
        <item x="78"/>
        <item x="55"/>
        <item x="82"/>
        <item x="108"/>
        <item x="110"/>
        <item x="54"/>
        <item x="104"/>
        <item x="115"/>
        <item x="79"/>
        <item x="95"/>
        <item x="50"/>
        <item x="22"/>
        <item x="25"/>
        <item x="113"/>
        <item x="94"/>
        <item x="111"/>
        <item x="9"/>
        <item x="98"/>
        <item x="18"/>
        <item x="35"/>
        <item x="73"/>
        <item x="77"/>
        <item x="68"/>
        <item x="38"/>
        <item x="88"/>
        <item x="91"/>
        <item x="24"/>
        <item x="75"/>
        <item x="0"/>
        <item x="101"/>
        <item x="112"/>
        <item x="81"/>
        <item x="29"/>
        <item x="51"/>
        <item x="57"/>
        <item x="103"/>
        <item x="12"/>
        <item x="47"/>
        <item x="6"/>
        <item x="45"/>
        <item x="105"/>
        <item x="58"/>
        <item x="21"/>
        <item x="31"/>
        <item x="8"/>
        <item x="32"/>
        <item x="33"/>
        <item x="121"/>
        <item x="52"/>
        <item x="48"/>
        <item x="41"/>
        <item x="96"/>
        <item x="87"/>
        <item x="76"/>
        <item x="114"/>
        <item x="26"/>
        <item x="84"/>
        <item x="36"/>
        <item t="default"/>
      </items>
    </pivotField>
    <pivotField showAll="0">
      <items count="5">
        <item x="3"/>
        <item x="0"/>
        <item x="1"/>
        <item x="2"/>
        <item t="default"/>
      </items>
    </pivotField>
    <pivotField showAll="0">
      <items count="6">
        <item x="0"/>
        <item x="3"/>
        <item x="4"/>
        <item x="2"/>
        <item x="1"/>
        <item t="default"/>
      </items>
    </pivotField>
    <pivotField showAll="0">
      <items count="5">
        <item x="1"/>
        <item x="0"/>
        <item x="2"/>
        <item x="3"/>
        <item t="default"/>
      </items>
    </pivotField>
    <pivotField showAll="0">
      <items count="9">
        <item x="4"/>
        <item x="2"/>
        <item x="1"/>
        <item x="0"/>
        <item x="7"/>
        <item x="5"/>
        <item x="6"/>
        <item x="3"/>
        <item t="default"/>
      </items>
    </pivotField>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13">
    <i>
      <x v="1"/>
    </i>
    <i>
      <x v="2"/>
    </i>
    <i>
      <x v="3"/>
    </i>
    <i>
      <x v="4"/>
    </i>
    <i>
      <x v="5"/>
    </i>
    <i>
      <x v="6"/>
    </i>
    <i>
      <x v="7"/>
    </i>
    <i>
      <x v="8"/>
    </i>
    <i>
      <x v="9"/>
    </i>
    <i>
      <x v="10"/>
    </i>
    <i>
      <x v="11"/>
    </i>
    <i>
      <x v="12"/>
    </i>
    <i t="grand">
      <x/>
    </i>
  </rowItems>
  <colItems count="1">
    <i/>
  </colItems>
  <dataFields count="1">
    <dataField name="Sum of Quantity" fld="6" baseField="0" baseItem="0"/>
  </dataField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24500-5729-4082-A294-8A3CF17693A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F14" firstHeaderRow="1" firstDataRow="2" firstDataCol="1"/>
  <pivotFields count="12">
    <pivotField showAll="0"/>
    <pivotField numFmtId="14" showAll="0">
      <items count="125">
        <item x="37"/>
        <item x="3"/>
        <item x="46"/>
        <item x="59"/>
        <item x="83"/>
        <item x="27"/>
        <item x="11"/>
        <item x="1"/>
        <item x="14"/>
        <item x="85"/>
        <item x="15"/>
        <item x="17"/>
        <item x="40"/>
        <item x="67"/>
        <item x="123"/>
        <item x="74"/>
        <item x="109"/>
        <item x="90"/>
        <item x="2"/>
        <item x="23"/>
        <item x="63"/>
        <item x="44"/>
        <item x="65"/>
        <item x="43"/>
        <item x="7"/>
        <item x="56"/>
        <item x="42"/>
        <item x="69"/>
        <item x="107"/>
        <item x="122"/>
        <item x="120"/>
        <item x="89"/>
        <item x="119"/>
        <item x="20"/>
        <item x="97"/>
        <item x="34"/>
        <item x="100"/>
        <item x="61"/>
        <item x="80"/>
        <item x="66"/>
        <item x="60"/>
        <item x="106"/>
        <item x="71"/>
        <item x="118"/>
        <item x="116"/>
        <item x="13"/>
        <item x="64"/>
        <item x="19"/>
        <item x="70"/>
        <item x="28"/>
        <item x="93"/>
        <item x="49"/>
        <item x="99"/>
        <item x="39"/>
        <item x="5"/>
        <item x="117"/>
        <item x="92"/>
        <item x="53"/>
        <item x="86"/>
        <item x="102"/>
        <item x="72"/>
        <item x="10"/>
        <item x="30"/>
        <item x="16"/>
        <item x="4"/>
        <item x="62"/>
        <item x="78"/>
        <item x="55"/>
        <item x="82"/>
        <item x="108"/>
        <item x="110"/>
        <item x="54"/>
        <item x="104"/>
        <item x="115"/>
        <item x="79"/>
        <item x="95"/>
        <item x="50"/>
        <item x="22"/>
        <item x="25"/>
        <item x="113"/>
        <item x="94"/>
        <item x="111"/>
        <item x="9"/>
        <item x="98"/>
        <item x="18"/>
        <item x="35"/>
        <item x="73"/>
        <item x="77"/>
        <item x="68"/>
        <item x="38"/>
        <item x="88"/>
        <item x="91"/>
        <item x="24"/>
        <item x="75"/>
        <item x="0"/>
        <item x="101"/>
        <item x="112"/>
        <item x="81"/>
        <item x="29"/>
        <item x="51"/>
        <item x="57"/>
        <item x="103"/>
        <item x="12"/>
        <item x="47"/>
        <item x="6"/>
        <item x="45"/>
        <item x="105"/>
        <item x="58"/>
        <item x="21"/>
        <item x="31"/>
        <item x="8"/>
        <item x="32"/>
        <item x="33"/>
        <item x="121"/>
        <item x="52"/>
        <item x="48"/>
        <item x="41"/>
        <item x="96"/>
        <item x="87"/>
        <item x="76"/>
        <item x="114"/>
        <item x="26"/>
        <item x="84"/>
        <item x="36"/>
        <item t="default"/>
      </items>
    </pivotField>
    <pivotField showAll="0">
      <items count="5">
        <item x="3"/>
        <item x="0"/>
        <item x="1"/>
        <item x="2"/>
        <item t="default"/>
      </items>
    </pivotField>
    <pivotField showAll="0">
      <items count="6">
        <item x="0"/>
        <item x="3"/>
        <item x="4"/>
        <item x="2"/>
        <item x="1"/>
        <item t="default"/>
      </items>
    </pivotField>
    <pivotField axis="axisCol" showAll="0">
      <items count="5">
        <item sd="0" x="1"/>
        <item sd="0" x="0"/>
        <item sd="0" x="2"/>
        <item sd="0" x="3"/>
        <item t="default"/>
      </items>
    </pivotField>
    <pivotField showAll="0">
      <items count="9">
        <item x="4"/>
        <item x="2"/>
        <item x="1"/>
        <item x="0"/>
        <item x="7"/>
        <item x="5"/>
        <item x="6"/>
        <item x="3"/>
        <item t="default"/>
      </items>
    </pivotField>
    <pivotField dataField="1" showAll="0">
      <items count="11">
        <item x="4"/>
        <item x="5"/>
        <item x="0"/>
        <item x="9"/>
        <item x="3"/>
        <item x="6"/>
        <item x="1"/>
        <item x="8"/>
        <item x="2"/>
        <item x="7"/>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4"/>
  </colFields>
  <colItems count="5">
    <i>
      <x/>
    </i>
    <i>
      <x v="1"/>
    </i>
    <i>
      <x v="2"/>
    </i>
    <i>
      <x v="3"/>
    </i>
    <i t="grand">
      <x/>
    </i>
  </colItems>
  <dataFields count="1">
    <dataField name="Sum of Quantity" fld="6" baseField="0"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2">
          <reference field="4294967294" count="1" selected="0">
            <x v="0"/>
          </reference>
          <reference field="4" count="1" selected="0">
            <x v="2"/>
          </reference>
        </references>
      </pivotArea>
    </chartFormat>
    <chartFormat chart="6" format="11" series="1">
      <pivotArea type="data" outline="0" fieldPosition="0">
        <references count="2">
          <reference field="4294967294" count="1" selected="0">
            <x v="0"/>
          </reference>
          <reference field="4" count="1" selected="0">
            <x v="3"/>
          </reference>
        </references>
      </pivotArea>
    </chartFormat>
    <chartFormat chart="6" format="12">
      <pivotArea type="data" outline="0" fieldPosition="0">
        <references count="2">
          <reference field="4294967294" count="1" selected="0">
            <x v="0"/>
          </reference>
          <reference field="4" count="1" selected="0">
            <x v="2"/>
          </reference>
        </references>
      </pivotArea>
    </chartFormat>
    <chartFormat chart="6" format="13">
      <pivotArea type="data" outline="0" fieldPosition="0">
        <references count="2">
          <reference field="4294967294" count="1" selected="0">
            <x v="0"/>
          </reference>
          <reference field="4" count="1" selected="0">
            <x v="3"/>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348A15-1177-48F2-B3E5-BBB906563A8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2">
    <pivotField showAll="0"/>
    <pivotField numFmtId="14" showAll="0">
      <items count="125">
        <item x="37"/>
        <item x="3"/>
        <item x="46"/>
        <item x="59"/>
        <item x="83"/>
        <item x="27"/>
        <item x="11"/>
        <item x="1"/>
        <item x="14"/>
        <item x="85"/>
        <item x="15"/>
        <item x="17"/>
        <item x="40"/>
        <item x="67"/>
        <item x="123"/>
        <item x="74"/>
        <item x="109"/>
        <item x="90"/>
        <item x="2"/>
        <item x="23"/>
        <item x="63"/>
        <item x="44"/>
        <item x="65"/>
        <item x="43"/>
        <item x="7"/>
        <item x="56"/>
        <item x="42"/>
        <item x="69"/>
        <item x="107"/>
        <item x="122"/>
        <item x="120"/>
        <item x="89"/>
        <item x="119"/>
        <item x="20"/>
        <item x="97"/>
        <item x="34"/>
        <item x="100"/>
        <item x="61"/>
        <item x="80"/>
        <item x="66"/>
        <item x="60"/>
        <item x="106"/>
        <item x="71"/>
        <item x="118"/>
        <item x="116"/>
        <item x="13"/>
        <item x="64"/>
        <item x="19"/>
        <item x="70"/>
        <item x="28"/>
        <item x="93"/>
        <item x="49"/>
        <item x="99"/>
        <item x="39"/>
        <item x="5"/>
        <item x="117"/>
        <item x="92"/>
        <item x="53"/>
        <item x="86"/>
        <item x="102"/>
        <item x="72"/>
        <item x="10"/>
        <item x="30"/>
        <item x="16"/>
        <item x="4"/>
        <item x="62"/>
        <item x="78"/>
        <item x="55"/>
        <item x="82"/>
        <item x="108"/>
        <item x="110"/>
        <item x="54"/>
        <item x="104"/>
        <item x="115"/>
        <item x="79"/>
        <item x="95"/>
        <item x="50"/>
        <item x="22"/>
        <item x="25"/>
        <item x="113"/>
        <item x="94"/>
        <item x="111"/>
        <item x="9"/>
        <item x="98"/>
        <item x="18"/>
        <item x="35"/>
        <item x="73"/>
        <item x="77"/>
        <item x="68"/>
        <item x="38"/>
        <item x="88"/>
        <item x="91"/>
        <item x="24"/>
        <item x="75"/>
        <item x="0"/>
        <item x="101"/>
        <item x="112"/>
        <item x="81"/>
        <item x="29"/>
        <item x="51"/>
        <item x="57"/>
        <item x="103"/>
        <item x="12"/>
        <item x="47"/>
        <item x="6"/>
        <item x="45"/>
        <item x="105"/>
        <item x="58"/>
        <item x="21"/>
        <item x="31"/>
        <item x="8"/>
        <item x="32"/>
        <item x="33"/>
        <item x="121"/>
        <item x="52"/>
        <item x="48"/>
        <item x="41"/>
        <item x="96"/>
        <item x="87"/>
        <item x="76"/>
        <item x="114"/>
        <item x="26"/>
        <item x="84"/>
        <item x="36"/>
        <item t="default"/>
      </items>
    </pivotField>
    <pivotField axis="axisRow" showAll="0">
      <items count="5">
        <item x="3"/>
        <item x="0"/>
        <item x="1"/>
        <item x="2"/>
        <item t="default"/>
      </items>
    </pivotField>
    <pivotField showAll="0">
      <items count="6">
        <item x="0"/>
        <item x="3"/>
        <item x="4"/>
        <item x="2"/>
        <item x="1"/>
        <item t="default"/>
      </items>
    </pivotField>
    <pivotField showAll="0">
      <items count="5">
        <item x="1"/>
        <item x="0"/>
        <item x="2"/>
        <item x="3"/>
        <item t="default"/>
      </items>
    </pivotField>
    <pivotField showAll="0">
      <items count="9">
        <item x="4"/>
        <item x="2"/>
        <item x="1"/>
        <item x="0"/>
        <item x="7"/>
        <item x="5"/>
        <item x="6"/>
        <item x="3"/>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71283-1C61-464D-93BA-0DFFE6883B6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E43" firstHeaderRow="1" firstDataRow="2" firstDataCol="1"/>
  <pivotFields count="12">
    <pivotField dataField="1" showAll="0"/>
    <pivotField numFmtId="14" showAll="0">
      <items count="125">
        <item x="37"/>
        <item x="3"/>
        <item x="46"/>
        <item x="59"/>
        <item x="83"/>
        <item x="27"/>
        <item x="11"/>
        <item x="1"/>
        <item x="14"/>
        <item x="85"/>
        <item x="15"/>
        <item x="17"/>
        <item x="40"/>
        <item x="67"/>
        <item x="123"/>
        <item x="74"/>
        <item x="109"/>
        <item x="90"/>
        <item x="2"/>
        <item x="23"/>
        <item x="63"/>
        <item x="44"/>
        <item x="65"/>
        <item x="43"/>
        <item x="7"/>
        <item x="56"/>
        <item x="42"/>
        <item x="69"/>
        <item x="107"/>
        <item x="122"/>
        <item x="120"/>
        <item x="89"/>
        <item x="119"/>
        <item x="20"/>
        <item x="97"/>
        <item x="34"/>
        <item x="100"/>
        <item x="61"/>
        <item x="80"/>
        <item x="66"/>
        <item x="60"/>
        <item x="106"/>
        <item x="71"/>
        <item x="118"/>
        <item x="116"/>
        <item x="13"/>
        <item x="64"/>
        <item x="19"/>
        <item x="70"/>
        <item x="28"/>
        <item x="93"/>
        <item x="49"/>
        <item x="99"/>
        <item x="39"/>
        <item x="5"/>
        <item x="117"/>
        <item x="92"/>
        <item x="53"/>
        <item x="86"/>
        <item x="102"/>
        <item x="72"/>
        <item x="10"/>
        <item x="30"/>
        <item x="16"/>
        <item x="4"/>
        <item x="62"/>
        <item x="78"/>
        <item x="55"/>
        <item x="82"/>
        <item x="108"/>
        <item x="110"/>
        <item x="54"/>
        <item x="104"/>
        <item x="115"/>
        <item x="79"/>
        <item x="95"/>
        <item x="50"/>
        <item x="22"/>
        <item x="25"/>
        <item x="113"/>
        <item x="94"/>
        <item x="111"/>
        <item x="9"/>
        <item x="98"/>
        <item x="18"/>
        <item x="35"/>
        <item x="73"/>
        <item x="77"/>
        <item x="68"/>
        <item x="38"/>
        <item x="88"/>
        <item x="91"/>
        <item x="24"/>
        <item x="75"/>
        <item x="0"/>
        <item x="101"/>
        <item x="112"/>
        <item x="81"/>
        <item x="29"/>
        <item x="51"/>
        <item x="57"/>
        <item x="103"/>
        <item x="12"/>
        <item x="47"/>
        <item x="6"/>
        <item x="45"/>
        <item x="105"/>
        <item x="58"/>
        <item x="21"/>
        <item x="31"/>
        <item x="8"/>
        <item x="32"/>
        <item x="33"/>
        <item x="121"/>
        <item x="52"/>
        <item x="48"/>
        <item x="41"/>
        <item x="96"/>
        <item x="87"/>
        <item x="76"/>
        <item x="114"/>
        <item x="26"/>
        <item x="84"/>
        <item x="36"/>
        <item t="default"/>
      </items>
    </pivotField>
    <pivotField showAll="0">
      <items count="5">
        <item x="3"/>
        <item x="0"/>
        <item x="1"/>
        <item x="2"/>
        <item t="default"/>
      </items>
    </pivotField>
    <pivotField axis="axisRow" showAll="0">
      <items count="6">
        <item x="0"/>
        <item x="3"/>
        <item x="4"/>
        <item x="2"/>
        <item x="1"/>
        <item t="default"/>
      </items>
    </pivotField>
    <pivotField showAll="0">
      <items count="5">
        <item x="1"/>
        <item x="0"/>
        <item x="2"/>
        <item x="3"/>
        <item t="default"/>
      </items>
    </pivotField>
    <pivotField showAll="0">
      <items count="9">
        <item x="4"/>
        <item x="2"/>
        <item x="1"/>
        <item x="0"/>
        <item x="7"/>
        <item x="5"/>
        <item x="6"/>
        <item x="3"/>
        <item t="default"/>
      </items>
    </pivotField>
    <pivotField showAll="0"/>
    <pivotField showAll="0"/>
    <pivotField showAll="0"/>
    <pivotField axis="axisCol"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9"/>
  </colFields>
  <colItems count="4">
    <i>
      <x/>
    </i>
    <i>
      <x v="1"/>
    </i>
    <i>
      <x v="2"/>
    </i>
    <i t="grand">
      <x/>
    </i>
  </colItems>
  <dataFields count="1">
    <dataField name="Count of Order ID" fld="0"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E2A722-F6A7-41BD-9A78-31EA731C3BFC}" sourceName="Region">
  <pivotTables>
    <pivotTable tabId="2" name="PivotTable1"/>
    <pivotTable tabId="2" name="PivotTable2"/>
    <pivotTable tabId="2" name="PivotTable4"/>
    <pivotTable tabId="2" name="PivotTable5"/>
  </pivotTables>
  <data>
    <tabular pivotCacheId="23238607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ED14C7-ED52-4457-8B3F-5119FB16C19C}" sourceName="Category">
  <pivotTables>
    <pivotTable tabId="2" name="PivotTable1"/>
    <pivotTable tabId="2" name="PivotTable2"/>
    <pivotTable tabId="2" name="PivotTable4"/>
    <pivotTable tabId="2" name="PivotTable5"/>
  </pivotTables>
  <data>
    <tabular pivotCacheId="232386075">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7D85CF0-EE45-4686-87E7-BCB891FE109C}" sourceName="Months (Order Date)">
  <pivotTables>
    <pivotTable tabId="2" name="PivotTable1"/>
    <pivotTable tabId="2" name="PivotTable2"/>
    <pivotTable tabId="2" name="PivotTable4"/>
    <pivotTable tabId="2" name="PivotTable5"/>
  </pivotTables>
  <data>
    <tabular pivotCacheId="23238607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0B06350-D078-48B7-82CD-ECC358CF3E71}" sourceName="Country">
  <pivotTables>
    <pivotTable tabId="2" name="PivotTable5"/>
    <pivotTable tabId="2" name="PivotTable1"/>
    <pivotTable tabId="2" name="PivotTable2"/>
    <pivotTable tabId="2" name="PivotTable4"/>
  </pivotTables>
  <data>
    <tabular pivotCacheId="232386075">
      <items count="5">
        <i x="0" s="1"/>
        <i x="3" s="1"/>
        <i x="4"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0980EB0-5A09-4027-B19D-1BFE4B911B62}" sourceName="Product">
  <pivotTables>
    <pivotTable tabId="2" name="PivotTable5"/>
    <pivotTable tabId="2" name="PivotTable1"/>
    <pivotTable tabId="2" name="PivotTable2"/>
    <pivotTable tabId="2" name="PivotTable4"/>
  </pivotTables>
  <data>
    <tabular pivotCacheId="232386075">
      <items count="8">
        <i x="4" s="1"/>
        <i x="2" s="1"/>
        <i x="1" s="1"/>
        <i x="0" s="1"/>
        <i x="7" s="1"/>
        <i x="5"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747179-4E88-4876-9135-CD5E20D5B973}" cache="Slicer_Region" caption="Region" rowHeight="234950"/>
  <slicer name="Category" xr10:uid="{3170DA52-B54D-4BF9-B88F-20E7BE4B3DC9}" cache="Slicer_Category" caption="Category" rowHeight="234950"/>
  <slicer name="Months (Order Date)" xr10:uid="{2F1C3BB7-6AEF-4FAD-9964-D422EF373922}" cache="Slicer_Months__Order_Date" caption="Months (Order Date)" startItem="4" rowHeight="234950"/>
  <slicer name="Country 1" xr10:uid="{2C2BB18A-CDB1-4D5A-B11F-59A208091C8C}" cache="Slicer_Country" caption="Country" rowHeight="234950"/>
  <slicer name="Product 1" xr10:uid="{53901D00-0E8E-447C-A5F7-CC308F6DEA90}"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7AE06A7-9816-4BF3-A704-1FEC08F7F602}"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00F6-86FE-4DA3-B1B0-7E44ECD81021}">
  <dimension ref="A1:AG20"/>
  <sheetViews>
    <sheetView showGridLines="0" tabSelected="1" zoomScale="42" zoomScaleNormal="42" workbookViewId="0">
      <selection activeCell="BA43" sqref="BA43"/>
    </sheetView>
  </sheetViews>
  <sheetFormatPr defaultRowHeight="14.4" x14ac:dyDescent="0.3"/>
  <cols>
    <col min="1" max="16384" width="8.88671875" style="6"/>
  </cols>
  <sheetData>
    <row r="1" spans="1:33" ht="14.4" customHeight="1" x14ac:dyDescent="0.3">
      <c r="C1" s="13"/>
      <c r="D1" s="15" t="s">
        <v>202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row>
    <row r="2" spans="1:33" ht="14.4" customHeight="1" x14ac:dyDescent="0.3">
      <c r="C2" s="14"/>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row>
    <row r="3" spans="1:33" ht="14.4" customHeight="1" x14ac:dyDescent="0.3">
      <c r="C3" s="14"/>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row>
    <row r="4" spans="1:33" ht="14.4" customHeight="1" x14ac:dyDescent="0.3">
      <c r="C4" s="14"/>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row>
    <row r="5" spans="1:33" ht="14.4" customHeight="1" x14ac:dyDescent="0.3">
      <c r="C5" s="14"/>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row>
    <row r="6" spans="1:33" ht="14.4" customHeight="1" x14ac:dyDescent="0.3">
      <c r="C6" s="14"/>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spans="1:33" ht="14.4" customHeight="1" x14ac:dyDescent="0.3">
      <c r="C7" s="14"/>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spans="1:33" ht="14.4" customHeight="1" x14ac:dyDescent="0.3">
      <c r="C8" s="14"/>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row>
    <row r="9" spans="1:33" ht="14.4" customHeight="1" x14ac:dyDescent="0.3">
      <c r="C9" s="14"/>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row>
    <row r="10" spans="1:33" ht="14.4" customHeight="1" x14ac:dyDescent="0.3">
      <c r="C10" s="14"/>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row>
    <row r="11" spans="1:33" ht="14.4" customHeight="1" x14ac:dyDescent="0.3">
      <c r="C11" s="14"/>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14.4" customHeight="1" x14ac:dyDescent="0.3">
      <c r="A12" s="9"/>
      <c r="B12" s="9"/>
      <c r="C12" s="9"/>
      <c r="D12" s="9"/>
      <c r="E12" s="9"/>
    </row>
    <row r="13" spans="1:33" ht="14.4" customHeight="1" x14ac:dyDescent="0.3">
      <c r="A13" s="9"/>
      <c r="B13" s="9"/>
      <c r="C13" s="9"/>
      <c r="D13" s="9"/>
      <c r="E13" s="9"/>
      <c r="F13" s="8"/>
      <c r="G13" s="8"/>
      <c r="H13" s="8"/>
      <c r="I13" s="16" t="s">
        <v>203</v>
      </c>
      <c r="J13" s="11"/>
      <c r="K13" s="11"/>
      <c r="L13" s="11"/>
      <c r="M13" s="11"/>
      <c r="O13" s="16" t="s">
        <v>204</v>
      </c>
      <c r="P13" s="11"/>
      <c r="Q13" s="11"/>
      <c r="R13" s="11"/>
      <c r="S13" s="11"/>
      <c r="U13" s="11" t="s">
        <v>205</v>
      </c>
      <c r="V13" s="11"/>
      <c r="W13" s="11"/>
      <c r="X13" s="11"/>
      <c r="Y13" s="11"/>
    </row>
    <row r="14" spans="1:33" ht="14.4" customHeight="1" x14ac:dyDescent="0.3">
      <c r="A14" s="9"/>
      <c r="B14" s="9"/>
      <c r="C14" s="9"/>
      <c r="D14" s="9"/>
      <c r="E14" s="9"/>
      <c r="F14" s="8"/>
      <c r="G14" s="8"/>
      <c r="H14" s="8"/>
      <c r="I14" s="11"/>
      <c r="J14" s="11"/>
      <c r="K14" s="11"/>
      <c r="L14" s="11"/>
      <c r="M14" s="11"/>
      <c r="O14" s="11"/>
      <c r="P14" s="11"/>
      <c r="Q14" s="11"/>
      <c r="R14" s="11"/>
      <c r="S14" s="11"/>
      <c r="U14" s="11"/>
      <c r="V14" s="11"/>
      <c r="W14" s="11"/>
      <c r="X14" s="11"/>
      <c r="Y14" s="11"/>
    </row>
    <row r="15" spans="1:33" ht="14.4" customHeight="1" x14ac:dyDescent="0.3">
      <c r="A15" s="9"/>
      <c r="B15" s="9"/>
      <c r="C15" s="9"/>
      <c r="D15" s="9"/>
      <c r="E15" s="9"/>
      <c r="F15" s="8"/>
      <c r="G15" s="8"/>
      <c r="H15" s="8"/>
      <c r="I15" s="11"/>
      <c r="J15" s="11"/>
      <c r="K15" s="11"/>
      <c r="L15" s="11"/>
      <c r="M15" s="11"/>
      <c r="O15" s="11"/>
      <c r="P15" s="11"/>
      <c r="Q15" s="11"/>
      <c r="R15" s="11"/>
      <c r="S15" s="11"/>
      <c r="U15" s="11"/>
      <c r="V15" s="11"/>
      <c r="W15" s="11"/>
      <c r="X15" s="11"/>
      <c r="Y15" s="11"/>
    </row>
    <row r="16" spans="1:33" ht="14.4" customHeight="1" x14ac:dyDescent="0.3">
      <c r="A16" s="9"/>
      <c r="B16" s="9"/>
      <c r="C16" s="9"/>
      <c r="D16" s="9"/>
      <c r="E16" s="9"/>
      <c r="F16" s="8"/>
      <c r="G16" s="8"/>
      <c r="H16" s="8"/>
      <c r="I16" s="11"/>
      <c r="J16" s="11"/>
      <c r="K16" s="11"/>
      <c r="L16" s="11"/>
      <c r="M16" s="11"/>
      <c r="O16" s="11"/>
      <c r="P16" s="11"/>
      <c r="Q16" s="11"/>
      <c r="R16" s="11"/>
      <c r="S16" s="11"/>
      <c r="U16" s="11"/>
      <c r="V16" s="11"/>
      <c r="W16" s="11"/>
      <c r="X16" s="11"/>
      <c r="Y16" s="11"/>
    </row>
    <row r="17" spans="1:25" ht="14.4" customHeight="1" x14ac:dyDescent="0.3">
      <c r="A17" s="10"/>
      <c r="B17" s="10"/>
      <c r="C17" s="8"/>
      <c r="D17" s="8"/>
      <c r="E17" s="8"/>
      <c r="F17" s="8"/>
      <c r="G17" s="8"/>
      <c r="H17" s="8"/>
      <c r="I17" s="11"/>
      <c r="J17" s="11"/>
      <c r="K17" s="11"/>
      <c r="L17" s="11"/>
      <c r="M17" s="11"/>
      <c r="O17" s="11"/>
      <c r="P17" s="11"/>
      <c r="Q17" s="11"/>
      <c r="R17" s="11"/>
      <c r="S17" s="11"/>
      <c r="U17" s="11"/>
      <c r="V17" s="11"/>
      <c r="W17" s="11"/>
      <c r="X17" s="11"/>
      <c r="Y17" s="11"/>
    </row>
    <row r="18" spans="1:25" ht="14.4" customHeight="1" x14ac:dyDescent="0.3">
      <c r="A18" s="10"/>
      <c r="B18" s="10"/>
      <c r="C18" s="8"/>
      <c r="D18" s="8"/>
      <c r="E18" s="8"/>
      <c r="F18" s="8"/>
      <c r="G18" s="8"/>
      <c r="H18" s="8"/>
      <c r="I18" s="18">
        <v>771</v>
      </c>
      <c r="J18" s="18"/>
      <c r="K18" s="12"/>
      <c r="L18" s="12"/>
      <c r="M18" s="12"/>
      <c r="O18" s="18">
        <v>267.2</v>
      </c>
      <c r="P18" s="18"/>
      <c r="Q18" s="12"/>
      <c r="R18" s="12"/>
      <c r="S18" s="12"/>
      <c r="U18" s="17">
        <v>208358</v>
      </c>
      <c r="V18" s="17"/>
      <c r="W18" s="12"/>
      <c r="X18" s="12"/>
      <c r="Y18" s="12"/>
    </row>
    <row r="19" spans="1:25" ht="14.4" customHeight="1" x14ac:dyDescent="0.3">
      <c r="A19" s="8"/>
      <c r="B19" s="8"/>
      <c r="C19" s="8"/>
      <c r="D19" s="8"/>
      <c r="E19" s="8"/>
      <c r="F19" s="8"/>
      <c r="G19" s="8"/>
      <c r="H19" s="8"/>
      <c r="I19" s="18"/>
      <c r="J19" s="18"/>
      <c r="K19" s="12"/>
      <c r="L19" s="12"/>
      <c r="M19" s="12"/>
      <c r="O19" s="18"/>
      <c r="P19" s="18"/>
      <c r="Q19" s="12"/>
      <c r="R19" s="12"/>
      <c r="S19" s="12"/>
      <c r="U19" s="17"/>
      <c r="V19" s="17"/>
      <c r="W19" s="12"/>
      <c r="X19" s="12"/>
      <c r="Y19" s="12"/>
    </row>
    <row r="20" spans="1:25" ht="14.4" customHeight="1" x14ac:dyDescent="0.3">
      <c r="A20" s="8"/>
      <c r="B20" s="8"/>
      <c r="C20" s="8"/>
      <c r="D20" s="8"/>
      <c r="E20" s="8"/>
      <c r="F20" s="8"/>
      <c r="G20" s="8"/>
      <c r="H20" s="8"/>
    </row>
  </sheetData>
  <mergeCells count="9">
    <mergeCell ref="A17:B18"/>
    <mergeCell ref="U18:V19"/>
    <mergeCell ref="O18:P19"/>
    <mergeCell ref="I18:J19"/>
    <mergeCell ref="D1:AG11"/>
    <mergeCell ref="A12:E16"/>
    <mergeCell ref="I13:M17"/>
    <mergeCell ref="O13:S17"/>
    <mergeCell ref="U13:Y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06DB-EB1E-4726-9580-287353CB21B9}">
  <dimension ref="A3:F43"/>
  <sheetViews>
    <sheetView showGridLines="0" topLeftCell="B13" workbookViewId="0">
      <selection activeCell="B27" sqref="B27"/>
    </sheetView>
  </sheetViews>
  <sheetFormatPr defaultRowHeight="14.4" x14ac:dyDescent="0.3"/>
  <cols>
    <col min="1" max="1" width="12.5546875" bestFit="1" customWidth="1"/>
    <col min="2" max="2" width="14.88671875" bestFit="1" customWidth="1"/>
    <col min="3" max="3" width="10" bestFit="1" customWidth="1"/>
    <col min="4" max="4" width="6" bestFit="1" customWidth="1"/>
    <col min="5" max="5" width="6.33203125" bestFit="1" customWidth="1"/>
    <col min="6" max="6" width="10.77734375" bestFit="1" customWidth="1"/>
    <col min="7" max="11" width="12.33203125" bestFit="1" customWidth="1"/>
    <col min="12" max="12" width="15.109375" bestFit="1" customWidth="1"/>
    <col min="13" max="17" width="8.6640625" bestFit="1" customWidth="1"/>
    <col min="18" max="18" width="11.33203125" bestFit="1" customWidth="1"/>
    <col min="19" max="19" width="10.77734375" bestFit="1" customWidth="1"/>
  </cols>
  <sheetData>
    <row r="3" spans="1:6" x14ac:dyDescent="0.3">
      <c r="A3" s="4" t="s">
        <v>184</v>
      </c>
      <c r="B3" t="s">
        <v>186</v>
      </c>
    </row>
    <row r="4" spans="1:6" x14ac:dyDescent="0.3">
      <c r="A4" s="5" t="s">
        <v>36</v>
      </c>
      <c r="B4" s="7">
        <v>49897</v>
      </c>
    </row>
    <row r="5" spans="1:6" x14ac:dyDescent="0.3">
      <c r="A5" s="5" t="s">
        <v>11</v>
      </c>
      <c r="B5" s="7">
        <v>55459</v>
      </c>
    </row>
    <row r="6" spans="1:6" x14ac:dyDescent="0.3">
      <c r="A6" s="5" t="s">
        <v>21</v>
      </c>
      <c r="B6" s="7">
        <v>58975</v>
      </c>
    </row>
    <row r="7" spans="1:6" x14ac:dyDescent="0.3">
      <c r="A7" s="5" t="s">
        <v>32</v>
      </c>
      <c r="B7" s="7">
        <v>44027</v>
      </c>
    </row>
    <row r="8" spans="1:6" x14ac:dyDescent="0.3">
      <c r="A8" s="5" t="s">
        <v>185</v>
      </c>
      <c r="B8" s="7">
        <v>208358</v>
      </c>
    </row>
    <row r="12" spans="1:6" x14ac:dyDescent="0.3">
      <c r="B12" s="4" t="s">
        <v>187</v>
      </c>
    </row>
    <row r="13" spans="1:6" x14ac:dyDescent="0.3">
      <c r="B13" t="s">
        <v>18</v>
      </c>
      <c r="C13" t="s">
        <v>13</v>
      </c>
      <c r="D13" t="s">
        <v>25</v>
      </c>
      <c r="E13" t="s">
        <v>29</v>
      </c>
      <c r="F13" t="s">
        <v>185</v>
      </c>
    </row>
    <row r="14" spans="1:6" x14ac:dyDescent="0.3">
      <c r="A14" t="s">
        <v>188</v>
      </c>
      <c r="B14" s="7">
        <v>168</v>
      </c>
      <c r="C14" s="7">
        <v>172</v>
      </c>
      <c r="D14" s="7">
        <v>192</v>
      </c>
      <c r="E14" s="7">
        <v>239</v>
      </c>
      <c r="F14" s="7">
        <v>771</v>
      </c>
    </row>
    <row r="20" spans="1:2" x14ac:dyDescent="0.3">
      <c r="A20" s="4" t="s">
        <v>184</v>
      </c>
      <c r="B20" t="s">
        <v>188</v>
      </c>
    </row>
    <row r="21" spans="1:2" x14ac:dyDescent="0.3">
      <c r="A21" s="5" t="s">
        <v>189</v>
      </c>
      <c r="B21" s="7">
        <v>60</v>
      </c>
    </row>
    <row r="22" spans="1:2" x14ac:dyDescent="0.3">
      <c r="A22" s="5" t="s">
        <v>190</v>
      </c>
      <c r="B22" s="7">
        <v>99</v>
      </c>
    </row>
    <row r="23" spans="1:2" x14ac:dyDescent="0.3">
      <c r="A23" s="5" t="s">
        <v>191</v>
      </c>
      <c r="B23" s="7">
        <v>40</v>
      </c>
    </row>
    <row r="24" spans="1:2" x14ac:dyDescent="0.3">
      <c r="A24" s="5" t="s">
        <v>192</v>
      </c>
      <c r="B24" s="7">
        <v>48</v>
      </c>
    </row>
    <row r="25" spans="1:2" x14ac:dyDescent="0.3">
      <c r="A25" s="5" t="s">
        <v>193</v>
      </c>
      <c r="B25" s="7">
        <v>99</v>
      </c>
    </row>
    <row r="26" spans="1:2" x14ac:dyDescent="0.3">
      <c r="A26" s="5" t="s">
        <v>194</v>
      </c>
      <c r="B26" s="7">
        <v>60</v>
      </c>
    </row>
    <row r="27" spans="1:2" x14ac:dyDescent="0.3">
      <c r="A27" s="5" t="s">
        <v>195</v>
      </c>
      <c r="B27" s="7">
        <v>40</v>
      </c>
    </row>
    <row r="28" spans="1:2" x14ac:dyDescent="0.3">
      <c r="A28" s="5" t="s">
        <v>196</v>
      </c>
      <c r="B28" s="7">
        <v>84</v>
      </c>
    </row>
    <row r="29" spans="1:2" x14ac:dyDescent="0.3">
      <c r="A29" s="5" t="s">
        <v>197</v>
      </c>
      <c r="B29" s="7">
        <v>57</v>
      </c>
    </row>
    <row r="30" spans="1:2" x14ac:dyDescent="0.3">
      <c r="A30" s="5" t="s">
        <v>198</v>
      </c>
      <c r="B30" s="7">
        <v>78</v>
      </c>
    </row>
    <row r="31" spans="1:2" x14ac:dyDescent="0.3">
      <c r="A31" s="5" t="s">
        <v>199</v>
      </c>
      <c r="B31" s="7">
        <v>52</v>
      </c>
    </row>
    <row r="32" spans="1:2" x14ac:dyDescent="0.3">
      <c r="A32" s="5" t="s">
        <v>200</v>
      </c>
      <c r="B32" s="7">
        <v>54</v>
      </c>
    </row>
    <row r="33" spans="1:5" x14ac:dyDescent="0.3">
      <c r="A33" s="5" t="s">
        <v>185</v>
      </c>
      <c r="B33" s="7">
        <v>771</v>
      </c>
    </row>
    <row r="36" spans="1:5" x14ac:dyDescent="0.3">
      <c r="A36" s="4" t="s">
        <v>201</v>
      </c>
      <c r="B36" s="4" t="s">
        <v>187</v>
      </c>
    </row>
    <row r="37" spans="1:5" x14ac:dyDescent="0.3">
      <c r="A37" s="4" t="s">
        <v>184</v>
      </c>
      <c r="B37" t="s">
        <v>30</v>
      </c>
      <c r="C37" t="s">
        <v>15</v>
      </c>
      <c r="D37" t="s">
        <v>27</v>
      </c>
      <c r="E37" t="s">
        <v>185</v>
      </c>
    </row>
    <row r="38" spans="1:5" x14ac:dyDescent="0.3">
      <c r="A38" s="5" t="s">
        <v>12</v>
      </c>
      <c r="B38" s="7">
        <v>10</v>
      </c>
      <c r="C38" s="7">
        <v>10</v>
      </c>
      <c r="D38" s="7">
        <v>13</v>
      </c>
      <c r="E38" s="7">
        <v>33</v>
      </c>
    </row>
    <row r="39" spans="1:5" x14ac:dyDescent="0.3">
      <c r="A39" s="5" t="s">
        <v>33</v>
      </c>
      <c r="B39" s="7">
        <v>11</v>
      </c>
      <c r="C39" s="7">
        <v>16</v>
      </c>
      <c r="D39" s="7">
        <v>4</v>
      </c>
      <c r="E39" s="7">
        <v>31</v>
      </c>
    </row>
    <row r="40" spans="1:5" x14ac:dyDescent="0.3">
      <c r="A40" s="5" t="s">
        <v>40</v>
      </c>
      <c r="B40" s="7">
        <v>8</v>
      </c>
      <c r="C40" s="7">
        <v>13</v>
      </c>
      <c r="D40" s="7">
        <v>8</v>
      </c>
      <c r="E40" s="7">
        <v>29</v>
      </c>
    </row>
    <row r="41" spans="1:5" x14ac:dyDescent="0.3">
      <c r="A41" s="5" t="s">
        <v>24</v>
      </c>
      <c r="B41" s="7">
        <v>9</v>
      </c>
      <c r="C41" s="7">
        <v>10</v>
      </c>
      <c r="D41" s="7">
        <v>11</v>
      </c>
      <c r="E41" s="7">
        <v>30</v>
      </c>
    </row>
    <row r="42" spans="1:5" x14ac:dyDescent="0.3">
      <c r="A42" s="5" t="s">
        <v>17</v>
      </c>
      <c r="B42" s="7">
        <v>7</v>
      </c>
      <c r="C42" s="7">
        <v>11</v>
      </c>
      <c r="D42" s="7">
        <v>9</v>
      </c>
      <c r="E42" s="7">
        <v>27</v>
      </c>
    </row>
    <row r="43" spans="1:5" x14ac:dyDescent="0.3">
      <c r="A43" s="5" t="s">
        <v>185</v>
      </c>
      <c r="B43" s="7">
        <v>45</v>
      </c>
      <c r="C43" s="7">
        <v>60</v>
      </c>
      <c r="D43" s="7">
        <v>45</v>
      </c>
      <c r="E43" s="7">
        <v>150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rightToLeft="1" workbookViewId="0">
      <selection activeCell="I152" sqref="I152"/>
    </sheetView>
  </sheetViews>
  <sheetFormatPr defaultRowHeight="14.4" x14ac:dyDescent="0.3"/>
  <cols>
    <col min="1" max="1" width="8.6640625" bestFit="1" customWidth="1"/>
    <col min="2" max="2" width="10.33203125" bestFit="1" customWidth="1"/>
    <col min="3" max="3" width="6.5546875" bestFit="1" customWidth="1"/>
    <col min="4" max="4" width="8.44140625" bestFit="1" customWidth="1"/>
    <col min="5" max="5" width="9.88671875" bestFit="1" customWidth="1"/>
    <col min="6" max="6" width="11.109375" bestFit="1" customWidth="1"/>
    <col min="7" max="7" width="8" bestFit="1" customWidth="1"/>
    <col min="9" max="9" width="7" bestFit="1" customWidth="1"/>
    <col min="10" max="10" width="15.109375"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1" t="s">
        <v>10</v>
      </c>
      <c r="B2" s="3">
        <v>45201</v>
      </c>
      <c r="C2" s="1" t="s">
        <v>11</v>
      </c>
      <c r="D2" s="1" t="s">
        <v>12</v>
      </c>
      <c r="E2" s="1" t="s">
        <v>13</v>
      </c>
      <c r="F2" s="1" t="s">
        <v>14</v>
      </c>
      <c r="G2" s="1">
        <v>3</v>
      </c>
      <c r="H2" s="1">
        <v>60</v>
      </c>
      <c r="I2" s="1">
        <v>180</v>
      </c>
      <c r="J2" s="1" t="s">
        <v>15</v>
      </c>
    </row>
    <row r="3" spans="1:10" x14ac:dyDescent="0.3">
      <c r="A3" s="1" t="s">
        <v>16</v>
      </c>
      <c r="B3" s="3">
        <v>44950</v>
      </c>
      <c r="C3" s="1" t="s">
        <v>11</v>
      </c>
      <c r="D3" s="1" t="s">
        <v>17</v>
      </c>
      <c r="E3" s="1" t="s">
        <v>18</v>
      </c>
      <c r="F3" s="1" t="s">
        <v>19</v>
      </c>
      <c r="G3" s="1">
        <v>7</v>
      </c>
      <c r="H3" s="1">
        <v>236</v>
      </c>
      <c r="I3" s="1">
        <v>1652</v>
      </c>
      <c r="J3" s="1" t="s">
        <v>15</v>
      </c>
    </row>
    <row r="4" spans="1:10" x14ac:dyDescent="0.3">
      <c r="A4" s="1" t="s">
        <v>20</v>
      </c>
      <c r="B4" s="3">
        <v>44981</v>
      </c>
      <c r="C4" s="1" t="s">
        <v>21</v>
      </c>
      <c r="D4" s="1" t="s">
        <v>17</v>
      </c>
      <c r="E4" s="1" t="s">
        <v>13</v>
      </c>
      <c r="F4" s="1" t="s">
        <v>22</v>
      </c>
      <c r="G4" s="1">
        <v>9</v>
      </c>
      <c r="H4" s="1">
        <v>56</v>
      </c>
      <c r="I4" s="1">
        <v>504</v>
      </c>
      <c r="J4" s="1" t="s">
        <v>15</v>
      </c>
    </row>
    <row r="5" spans="1:10" x14ac:dyDescent="0.3">
      <c r="A5" s="1" t="s">
        <v>23</v>
      </c>
      <c r="B5" s="3">
        <v>44928</v>
      </c>
      <c r="C5" s="1" t="s">
        <v>11</v>
      </c>
      <c r="D5" s="1" t="s">
        <v>24</v>
      </c>
      <c r="E5" s="1" t="s">
        <v>25</v>
      </c>
      <c r="F5" s="1" t="s">
        <v>26</v>
      </c>
      <c r="G5" s="1">
        <v>3</v>
      </c>
      <c r="H5" s="1">
        <v>191</v>
      </c>
      <c r="I5" s="1">
        <v>573</v>
      </c>
      <c r="J5" s="1" t="s">
        <v>27</v>
      </c>
    </row>
    <row r="6" spans="1:10" x14ac:dyDescent="0.3">
      <c r="A6" s="1" t="s">
        <v>28</v>
      </c>
      <c r="B6" s="3">
        <v>45105</v>
      </c>
      <c r="C6" s="1" t="s">
        <v>21</v>
      </c>
      <c r="D6" s="1" t="s">
        <v>12</v>
      </c>
      <c r="E6" s="1" t="s">
        <v>29</v>
      </c>
      <c r="F6" s="1" t="s">
        <v>14</v>
      </c>
      <c r="G6" s="1">
        <v>5</v>
      </c>
      <c r="H6" s="1">
        <v>135</v>
      </c>
      <c r="I6" s="1">
        <v>675</v>
      </c>
      <c r="J6" s="1" t="s">
        <v>30</v>
      </c>
    </row>
    <row r="7" spans="1:10" x14ac:dyDescent="0.3">
      <c r="A7" s="1" t="s">
        <v>31</v>
      </c>
      <c r="B7" s="3">
        <v>45086</v>
      </c>
      <c r="C7" s="1" t="s">
        <v>32</v>
      </c>
      <c r="D7" s="1" t="s">
        <v>33</v>
      </c>
      <c r="E7" s="1" t="s">
        <v>13</v>
      </c>
      <c r="F7" s="1" t="s">
        <v>34</v>
      </c>
      <c r="G7" s="1">
        <v>1</v>
      </c>
      <c r="H7" s="1">
        <v>140</v>
      </c>
      <c r="I7" s="1">
        <v>140</v>
      </c>
      <c r="J7" s="1" t="s">
        <v>15</v>
      </c>
    </row>
    <row r="8" spans="1:10" x14ac:dyDescent="0.3">
      <c r="A8" s="1" t="s">
        <v>35</v>
      </c>
      <c r="B8" s="3">
        <v>45230</v>
      </c>
      <c r="C8" s="1" t="s">
        <v>36</v>
      </c>
      <c r="D8" s="1" t="s">
        <v>12</v>
      </c>
      <c r="E8" s="1" t="s">
        <v>25</v>
      </c>
      <c r="F8" s="1" t="s">
        <v>26</v>
      </c>
      <c r="G8" s="1">
        <v>1</v>
      </c>
      <c r="H8" s="1">
        <v>485</v>
      </c>
      <c r="I8" s="1">
        <v>485</v>
      </c>
      <c r="J8" s="1" t="s">
        <v>15</v>
      </c>
    </row>
    <row r="9" spans="1:10" x14ac:dyDescent="0.3">
      <c r="A9" s="1" t="s">
        <v>37</v>
      </c>
      <c r="B9" s="3">
        <v>45005</v>
      </c>
      <c r="C9" s="1" t="s">
        <v>11</v>
      </c>
      <c r="D9" s="1" t="s">
        <v>12</v>
      </c>
      <c r="E9" s="1" t="s">
        <v>18</v>
      </c>
      <c r="F9" s="1" t="s">
        <v>14</v>
      </c>
      <c r="G9" s="1">
        <v>2</v>
      </c>
      <c r="H9" s="1">
        <v>105</v>
      </c>
      <c r="I9" s="1">
        <v>210</v>
      </c>
      <c r="J9" s="1" t="s">
        <v>27</v>
      </c>
    </row>
    <row r="10" spans="1:10" x14ac:dyDescent="0.3">
      <c r="A10" s="1" t="s">
        <v>38</v>
      </c>
      <c r="B10" s="3">
        <v>45245</v>
      </c>
      <c r="C10" s="1" t="s">
        <v>21</v>
      </c>
      <c r="D10" s="1" t="s">
        <v>12</v>
      </c>
      <c r="E10" s="1" t="s">
        <v>25</v>
      </c>
      <c r="F10" s="1" t="s">
        <v>14</v>
      </c>
      <c r="G10" s="1">
        <v>1</v>
      </c>
      <c r="H10" s="1">
        <v>339</v>
      </c>
      <c r="I10" s="1">
        <v>339</v>
      </c>
      <c r="J10" s="1" t="s">
        <v>15</v>
      </c>
    </row>
    <row r="11" spans="1:10" x14ac:dyDescent="0.3">
      <c r="A11" s="1" t="s">
        <v>39</v>
      </c>
      <c r="B11" s="3">
        <v>45163</v>
      </c>
      <c r="C11" s="1" t="s">
        <v>11</v>
      </c>
      <c r="D11" s="1" t="s">
        <v>40</v>
      </c>
      <c r="E11" s="1" t="s">
        <v>25</v>
      </c>
      <c r="F11" s="1" t="s">
        <v>19</v>
      </c>
      <c r="G11" s="1">
        <v>7</v>
      </c>
      <c r="H11" s="1">
        <v>17</v>
      </c>
      <c r="I11" s="1">
        <v>119</v>
      </c>
      <c r="J11" s="1" t="s">
        <v>27</v>
      </c>
    </row>
    <row r="12" spans="1:10" x14ac:dyDescent="0.3">
      <c r="A12" s="1" t="s">
        <v>41</v>
      </c>
      <c r="B12" s="3">
        <v>45101</v>
      </c>
      <c r="C12" s="1" t="s">
        <v>21</v>
      </c>
      <c r="D12" s="1" t="s">
        <v>12</v>
      </c>
      <c r="E12" s="1" t="s">
        <v>18</v>
      </c>
      <c r="F12" s="1" t="s">
        <v>42</v>
      </c>
      <c r="G12" s="1">
        <v>3</v>
      </c>
      <c r="H12" s="1">
        <v>157</v>
      </c>
      <c r="I12" s="1">
        <v>471</v>
      </c>
      <c r="J12" s="1" t="s">
        <v>30</v>
      </c>
    </row>
    <row r="13" spans="1:10" x14ac:dyDescent="0.3">
      <c r="A13" s="1" t="s">
        <v>43</v>
      </c>
      <c r="B13" s="3">
        <v>44946</v>
      </c>
      <c r="C13" s="1" t="s">
        <v>32</v>
      </c>
      <c r="D13" s="1" t="s">
        <v>12</v>
      </c>
      <c r="E13" s="1" t="s">
        <v>25</v>
      </c>
      <c r="F13" s="1" t="s">
        <v>26</v>
      </c>
      <c r="G13" s="1">
        <v>6</v>
      </c>
      <c r="H13" s="1">
        <v>126</v>
      </c>
      <c r="I13" s="1">
        <v>756</v>
      </c>
      <c r="J13" s="1" t="s">
        <v>15</v>
      </c>
    </row>
    <row r="14" spans="1:10" x14ac:dyDescent="0.3">
      <c r="A14" s="1" t="s">
        <v>44</v>
      </c>
      <c r="B14" s="3">
        <v>45226</v>
      </c>
      <c r="C14" s="1" t="s">
        <v>11</v>
      </c>
      <c r="D14" s="1" t="s">
        <v>12</v>
      </c>
      <c r="E14" s="1" t="s">
        <v>29</v>
      </c>
      <c r="F14" s="1" t="s">
        <v>19</v>
      </c>
      <c r="G14" s="1">
        <v>9</v>
      </c>
      <c r="H14" s="1">
        <v>337</v>
      </c>
      <c r="I14" s="1">
        <v>3033</v>
      </c>
      <c r="J14" s="1" t="s">
        <v>27</v>
      </c>
    </row>
    <row r="15" spans="1:10" x14ac:dyDescent="0.3">
      <c r="A15" s="1" t="s">
        <v>45</v>
      </c>
      <c r="B15" s="3">
        <v>45069</v>
      </c>
      <c r="C15" s="1" t="s">
        <v>36</v>
      </c>
      <c r="D15" s="1" t="s">
        <v>12</v>
      </c>
      <c r="E15" s="1" t="s">
        <v>25</v>
      </c>
      <c r="F15" s="1" t="s">
        <v>34</v>
      </c>
      <c r="G15" s="1">
        <v>2</v>
      </c>
      <c r="H15" s="1">
        <v>399</v>
      </c>
      <c r="I15" s="1">
        <v>798</v>
      </c>
      <c r="J15" s="1" t="s">
        <v>27</v>
      </c>
    </row>
    <row r="16" spans="1:10" x14ac:dyDescent="0.3">
      <c r="A16" s="1" t="s">
        <v>46</v>
      </c>
      <c r="B16" s="3">
        <v>44956</v>
      </c>
      <c r="C16" s="1" t="s">
        <v>32</v>
      </c>
      <c r="D16" s="1" t="s">
        <v>12</v>
      </c>
      <c r="E16" s="1" t="s">
        <v>18</v>
      </c>
      <c r="F16" s="1" t="s">
        <v>26</v>
      </c>
      <c r="G16" s="1">
        <v>1</v>
      </c>
      <c r="H16" s="1">
        <v>170</v>
      </c>
      <c r="I16" s="1">
        <v>170</v>
      </c>
      <c r="J16" s="1" t="s">
        <v>30</v>
      </c>
    </row>
    <row r="17" spans="1:10" x14ac:dyDescent="0.3">
      <c r="A17" s="1" t="s">
        <v>47</v>
      </c>
      <c r="B17" s="3">
        <v>44961</v>
      </c>
      <c r="C17" s="1" t="s">
        <v>21</v>
      </c>
      <c r="D17" s="1" t="s">
        <v>24</v>
      </c>
      <c r="E17" s="1" t="s">
        <v>25</v>
      </c>
      <c r="F17" s="1" t="s">
        <v>14</v>
      </c>
      <c r="G17" s="1">
        <v>2</v>
      </c>
      <c r="H17" s="1">
        <v>59</v>
      </c>
      <c r="I17" s="1">
        <v>118</v>
      </c>
      <c r="J17" s="1" t="s">
        <v>15</v>
      </c>
    </row>
    <row r="18" spans="1:10" x14ac:dyDescent="0.3">
      <c r="A18" s="1" t="s">
        <v>48</v>
      </c>
      <c r="B18" s="3">
        <v>45104</v>
      </c>
      <c r="C18" s="1" t="s">
        <v>32</v>
      </c>
      <c r="D18" s="1" t="s">
        <v>33</v>
      </c>
      <c r="E18" s="1" t="s">
        <v>18</v>
      </c>
      <c r="F18" s="1" t="s">
        <v>49</v>
      </c>
      <c r="G18" s="1">
        <v>3</v>
      </c>
      <c r="H18" s="1">
        <v>49</v>
      </c>
      <c r="I18" s="1">
        <v>147</v>
      </c>
      <c r="J18" s="1" t="s">
        <v>30</v>
      </c>
    </row>
    <row r="19" spans="1:10" x14ac:dyDescent="0.3">
      <c r="A19" s="1" t="s">
        <v>50</v>
      </c>
      <c r="B19" s="3">
        <v>44966</v>
      </c>
      <c r="C19" s="1" t="s">
        <v>32</v>
      </c>
      <c r="D19" s="1" t="s">
        <v>17</v>
      </c>
      <c r="E19" s="1" t="s">
        <v>18</v>
      </c>
      <c r="F19" s="1" t="s">
        <v>14</v>
      </c>
      <c r="G19" s="1">
        <v>5</v>
      </c>
      <c r="H19" s="1">
        <v>219</v>
      </c>
      <c r="I19" s="1">
        <v>1095</v>
      </c>
      <c r="J19" s="1" t="s">
        <v>15</v>
      </c>
    </row>
    <row r="20" spans="1:10" x14ac:dyDescent="0.3">
      <c r="A20" s="1" t="s">
        <v>51</v>
      </c>
      <c r="B20" s="3">
        <v>45170</v>
      </c>
      <c r="C20" s="1" t="s">
        <v>21</v>
      </c>
      <c r="D20" s="1" t="s">
        <v>40</v>
      </c>
      <c r="E20" s="1" t="s">
        <v>13</v>
      </c>
      <c r="F20" s="1" t="s">
        <v>19</v>
      </c>
      <c r="G20" s="1">
        <v>10</v>
      </c>
      <c r="H20" s="1">
        <v>274</v>
      </c>
      <c r="I20" s="1">
        <v>2740</v>
      </c>
      <c r="J20" s="1" t="s">
        <v>27</v>
      </c>
    </row>
    <row r="21" spans="1:10" x14ac:dyDescent="0.3">
      <c r="A21" s="1" t="s">
        <v>52</v>
      </c>
      <c r="B21" s="3">
        <v>45071</v>
      </c>
      <c r="C21" s="1" t="s">
        <v>32</v>
      </c>
      <c r="D21" s="1" t="s">
        <v>17</v>
      </c>
      <c r="E21" s="1" t="s">
        <v>18</v>
      </c>
      <c r="F21" s="1" t="s">
        <v>26</v>
      </c>
      <c r="G21" s="1">
        <v>2</v>
      </c>
      <c r="H21" s="1">
        <v>114</v>
      </c>
      <c r="I21" s="1">
        <v>228</v>
      </c>
      <c r="J21" s="1" t="s">
        <v>27</v>
      </c>
    </row>
    <row r="22" spans="1:10" x14ac:dyDescent="0.3">
      <c r="A22" s="1" t="s">
        <v>53</v>
      </c>
      <c r="B22" s="3">
        <v>44961</v>
      </c>
      <c r="C22" s="1" t="s">
        <v>36</v>
      </c>
      <c r="D22" s="1" t="s">
        <v>33</v>
      </c>
      <c r="E22" s="1" t="s">
        <v>13</v>
      </c>
      <c r="F22" s="1" t="s">
        <v>19</v>
      </c>
      <c r="G22" s="1">
        <v>9</v>
      </c>
      <c r="H22" s="1">
        <v>55</v>
      </c>
      <c r="I22" s="1">
        <v>495</v>
      </c>
      <c r="J22" s="1" t="s">
        <v>15</v>
      </c>
    </row>
    <row r="23" spans="1:10" x14ac:dyDescent="0.3">
      <c r="A23" s="1" t="s">
        <v>54</v>
      </c>
      <c r="B23" s="3">
        <v>45030</v>
      </c>
      <c r="C23" s="1" t="s">
        <v>11</v>
      </c>
      <c r="D23" s="1" t="s">
        <v>40</v>
      </c>
      <c r="E23" s="1" t="s">
        <v>18</v>
      </c>
      <c r="F23" s="1" t="s">
        <v>26</v>
      </c>
      <c r="G23" s="1">
        <v>5</v>
      </c>
      <c r="H23" s="1">
        <v>269</v>
      </c>
      <c r="I23" s="1">
        <v>1345</v>
      </c>
      <c r="J23" s="1" t="s">
        <v>30</v>
      </c>
    </row>
    <row r="24" spans="1:10" x14ac:dyDescent="0.3">
      <c r="A24" s="1" t="s">
        <v>55</v>
      </c>
      <c r="B24" s="3">
        <v>45238</v>
      </c>
      <c r="C24" s="1" t="s">
        <v>32</v>
      </c>
      <c r="D24" s="1" t="s">
        <v>40</v>
      </c>
      <c r="E24" s="1" t="s">
        <v>29</v>
      </c>
      <c r="F24" s="1" t="s">
        <v>42</v>
      </c>
      <c r="G24" s="1">
        <v>2</v>
      </c>
      <c r="H24" s="1">
        <v>224</v>
      </c>
      <c r="I24" s="1">
        <v>448</v>
      </c>
      <c r="J24" s="1" t="s">
        <v>30</v>
      </c>
    </row>
    <row r="25" spans="1:10" x14ac:dyDescent="0.3">
      <c r="A25" s="1" t="s">
        <v>56</v>
      </c>
      <c r="B25" s="3">
        <v>45148</v>
      </c>
      <c r="C25" s="1" t="s">
        <v>21</v>
      </c>
      <c r="D25" s="1" t="s">
        <v>33</v>
      </c>
      <c r="E25" s="1" t="s">
        <v>29</v>
      </c>
      <c r="F25" s="1" t="s">
        <v>42</v>
      </c>
      <c r="G25" s="1">
        <v>10</v>
      </c>
      <c r="H25" s="1">
        <v>482</v>
      </c>
      <c r="I25" s="1">
        <v>4820</v>
      </c>
      <c r="J25" s="1" t="s">
        <v>30</v>
      </c>
    </row>
    <row r="26" spans="1:10" x14ac:dyDescent="0.3">
      <c r="A26" s="1" t="s">
        <v>57</v>
      </c>
      <c r="B26" s="3">
        <v>44984</v>
      </c>
      <c r="C26" s="1" t="s">
        <v>11</v>
      </c>
      <c r="D26" s="1" t="s">
        <v>24</v>
      </c>
      <c r="E26" s="1" t="s">
        <v>29</v>
      </c>
      <c r="F26" s="1" t="s">
        <v>26</v>
      </c>
      <c r="G26" s="1">
        <v>1</v>
      </c>
      <c r="H26" s="1">
        <v>451</v>
      </c>
      <c r="I26" s="1">
        <v>451</v>
      </c>
      <c r="J26" s="1" t="s">
        <v>15</v>
      </c>
    </row>
    <row r="27" spans="1:10" x14ac:dyDescent="0.3">
      <c r="A27" s="1" t="s">
        <v>58</v>
      </c>
      <c r="B27" s="3">
        <v>45190</v>
      </c>
      <c r="C27" s="1" t="s">
        <v>11</v>
      </c>
      <c r="D27" s="1" t="s">
        <v>17</v>
      </c>
      <c r="E27" s="1" t="s">
        <v>25</v>
      </c>
      <c r="F27" s="1" t="s">
        <v>22</v>
      </c>
      <c r="G27" s="1">
        <v>2</v>
      </c>
      <c r="H27" s="1">
        <v>361</v>
      </c>
      <c r="I27" s="1">
        <v>722</v>
      </c>
      <c r="J27" s="1" t="s">
        <v>30</v>
      </c>
    </row>
    <row r="28" spans="1:10" x14ac:dyDescent="0.3">
      <c r="A28" s="1" t="s">
        <v>59</v>
      </c>
      <c r="B28" s="3">
        <v>45150</v>
      </c>
      <c r="C28" s="1" t="s">
        <v>32</v>
      </c>
      <c r="D28" s="1" t="s">
        <v>33</v>
      </c>
      <c r="E28" s="1" t="s">
        <v>13</v>
      </c>
      <c r="F28" s="1" t="s">
        <v>60</v>
      </c>
      <c r="G28" s="1">
        <v>2</v>
      </c>
      <c r="H28" s="1">
        <v>425</v>
      </c>
      <c r="I28" s="1">
        <v>850</v>
      </c>
      <c r="J28" s="1" t="s">
        <v>30</v>
      </c>
    </row>
    <row r="29" spans="1:10" x14ac:dyDescent="0.3">
      <c r="A29" s="1" t="s">
        <v>61</v>
      </c>
      <c r="B29" s="3">
        <v>45285</v>
      </c>
      <c r="C29" s="1" t="s">
        <v>32</v>
      </c>
      <c r="D29" s="1" t="s">
        <v>17</v>
      </c>
      <c r="E29" s="1" t="s">
        <v>13</v>
      </c>
      <c r="F29" s="1" t="s">
        <v>14</v>
      </c>
      <c r="G29" s="1">
        <v>8</v>
      </c>
      <c r="H29" s="1">
        <v>344</v>
      </c>
      <c r="I29" s="1">
        <v>2752</v>
      </c>
      <c r="J29" s="1" t="s">
        <v>27</v>
      </c>
    </row>
    <row r="30" spans="1:10" x14ac:dyDescent="0.3">
      <c r="A30" s="1" t="s">
        <v>62</v>
      </c>
      <c r="B30" s="3">
        <v>44944</v>
      </c>
      <c r="C30" s="1" t="s">
        <v>32</v>
      </c>
      <c r="D30" s="1" t="s">
        <v>33</v>
      </c>
      <c r="E30" s="1" t="s">
        <v>18</v>
      </c>
      <c r="F30" s="1" t="s">
        <v>26</v>
      </c>
      <c r="G30" s="1">
        <v>6</v>
      </c>
      <c r="H30" s="1">
        <v>311</v>
      </c>
      <c r="I30" s="1">
        <v>1866</v>
      </c>
      <c r="J30" s="1" t="s">
        <v>30</v>
      </c>
    </row>
    <row r="31" spans="1:10" x14ac:dyDescent="0.3">
      <c r="A31" s="1" t="s">
        <v>63</v>
      </c>
      <c r="B31" s="3">
        <v>45075</v>
      </c>
      <c r="C31" s="1" t="s">
        <v>21</v>
      </c>
      <c r="D31" s="1" t="s">
        <v>33</v>
      </c>
      <c r="E31" s="1" t="s">
        <v>25</v>
      </c>
      <c r="F31" s="1" t="s">
        <v>60</v>
      </c>
      <c r="G31" s="1">
        <v>6</v>
      </c>
      <c r="H31" s="1">
        <v>220</v>
      </c>
      <c r="I31" s="1">
        <v>1320</v>
      </c>
      <c r="J31" s="1" t="s">
        <v>30</v>
      </c>
    </row>
    <row r="32" spans="1:10" x14ac:dyDescent="0.3">
      <c r="A32" s="1" t="s">
        <v>64</v>
      </c>
      <c r="B32" s="3">
        <v>45218</v>
      </c>
      <c r="C32" s="1" t="s">
        <v>36</v>
      </c>
      <c r="D32" s="1" t="s">
        <v>40</v>
      </c>
      <c r="E32" s="1" t="s">
        <v>18</v>
      </c>
      <c r="F32" s="1" t="s">
        <v>14</v>
      </c>
      <c r="G32" s="1">
        <v>1</v>
      </c>
      <c r="H32" s="1">
        <v>149</v>
      </c>
      <c r="I32" s="1">
        <v>149</v>
      </c>
      <c r="J32" s="1" t="s">
        <v>15</v>
      </c>
    </row>
    <row r="33" spans="1:10" x14ac:dyDescent="0.3">
      <c r="A33" s="1" t="s">
        <v>65</v>
      </c>
      <c r="B33" s="3">
        <v>45163</v>
      </c>
      <c r="C33" s="1" t="s">
        <v>11</v>
      </c>
      <c r="D33" s="1" t="s">
        <v>12</v>
      </c>
      <c r="E33" s="1" t="s">
        <v>18</v>
      </c>
      <c r="F33" s="1" t="s">
        <v>42</v>
      </c>
      <c r="G33" s="1">
        <v>4</v>
      </c>
      <c r="H33" s="1">
        <v>147</v>
      </c>
      <c r="I33" s="1">
        <v>588</v>
      </c>
      <c r="J33" s="1" t="s">
        <v>27</v>
      </c>
    </row>
    <row r="34" spans="1:10" x14ac:dyDescent="0.3">
      <c r="A34" s="1" t="s">
        <v>66</v>
      </c>
      <c r="B34" s="3">
        <v>45102</v>
      </c>
      <c r="C34" s="1" t="s">
        <v>36</v>
      </c>
      <c r="D34" s="1" t="s">
        <v>33</v>
      </c>
      <c r="E34" s="1" t="s">
        <v>29</v>
      </c>
      <c r="F34" s="1" t="s">
        <v>26</v>
      </c>
      <c r="G34" s="1">
        <v>2</v>
      </c>
      <c r="H34" s="1">
        <v>398</v>
      </c>
      <c r="I34" s="1">
        <v>796</v>
      </c>
      <c r="J34" s="1" t="s">
        <v>15</v>
      </c>
    </row>
    <row r="35" spans="1:10" x14ac:dyDescent="0.3">
      <c r="A35" s="1" t="s">
        <v>67</v>
      </c>
      <c r="B35" s="3">
        <v>45242</v>
      </c>
      <c r="C35" s="1" t="s">
        <v>11</v>
      </c>
      <c r="D35" s="1" t="s">
        <v>24</v>
      </c>
      <c r="E35" s="1" t="s">
        <v>25</v>
      </c>
      <c r="F35" s="1" t="s">
        <v>34</v>
      </c>
      <c r="G35" s="1">
        <v>5</v>
      </c>
      <c r="H35" s="1">
        <v>306</v>
      </c>
      <c r="I35" s="1">
        <v>1530</v>
      </c>
      <c r="J35" s="1" t="s">
        <v>15</v>
      </c>
    </row>
    <row r="36" spans="1:10" x14ac:dyDescent="0.3">
      <c r="A36" s="1" t="s">
        <v>68</v>
      </c>
      <c r="B36" s="3">
        <v>45251</v>
      </c>
      <c r="C36" s="1" t="s">
        <v>36</v>
      </c>
      <c r="D36" s="1" t="s">
        <v>12</v>
      </c>
      <c r="E36" s="1" t="s">
        <v>13</v>
      </c>
      <c r="F36" s="1" t="s">
        <v>42</v>
      </c>
      <c r="G36" s="1">
        <v>5</v>
      </c>
      <c r="H36" s="1">
        <v>260</v>
      </c>
      <c r="I36" s="1">
        <v>1300</v>
      </c>
      <c r="J36" s="1" t="s">
        <v>15</v>
      </c>
    </row>
    <row r="37" spans="1:10" x14ac:dyDescent="0.3">
      <c r="A37" s="1" t="s">
        <v>69</v>
      </c>
      <c r="B37" s="3">
        <v>45253</v>
      </c>
      <c r="C37" s="1" t="s">
        <v>36</v>
      </c>
      <c r="D37" s="1" t="s">
        <v>40</v>
      </c>
      <c r="E37" s="1" t="s">
        <v>13</v>
      </c>
      <c r="F37" s="1" t="s">
        <v>42</v>
      </c>
      <c r="G37" s="1">
        <v>3</v>
      </c>
      <c r="H37" s="1">
        <v>205</v>
      </c>
      <c r="I37" s="1">
        <v>615</v>
      </c>
      <c r="J37" s="1" t="s">
        <v>15</v>
      </c>
    </row>
    <row r="38" spans="1:10" x14ac:dyDescent="0.3">
      <c r="A38" s="1" t="s">
        <v>70</v>
      </c>
      <c r="B38" s="3">
        <v>45042</v>
      </c>
      <c r="C38" s="1" t="s">
        <v>32</v>
      </c>
      <c r="D38" s="1" t="s">
        <v>12</v>
      </c>
      <c r="E38" s="1" t="s">
        <v>18</v>
      </c>
      <c r="F38" s="1" t="s">
        <v>14</v>
      </c>
      <c r="G38" s="1">
        <v>1</v>
      </c>
      <c r="H38" s="1">
        <v>95</v>
      </c>
      <c r="I38" s="1">
        <v>95</v>
      </c>
      <c r="J38" s="1" t="s">
        <v>30</v>
      </c>
    </row>
    <row r="39" spans="1:10" x14ac:dyDescent="0.3">
      <c r="A39" s="1" t="s">
        <v>71</v>
      </c>
      <c r="B39" s="3">
        <v>45173</v>
      </c>
      <c r="C39" s="1" t="s">
        <v>11</v>
      </c>
      <c r="D39" s="1" t="s">
        <v>17</v>
      </c>
      <c r="E39" s="1" t="s">
        <v>29</v>
      </c>
      <c r="F39" s="1" t="s">
        <v>14</v>
      </c>
      <c r="G39" s="1">
        <v>4</v>
      </c>
      <c r="H39" s="1">
        <v>367</v>
      </c>
      <c r="I39" s="1">
        <v>1468</v>
      </c>
      <c r="J39" s="1" t="s">
        <v>30</v>
      </c>
    </row>
    <row r="40" spans="1:10" x14ac:dyDescent="0.3">
      <c r="A40" s="1" t="s">
        <v>72</v>
      </c>
      <c r="B40" s="3">
        <v>45288</v>
      </c>
      <c r="C40" s="1" t="s">
        <v>36</v>
      </c>
      <c r="D40" s="1" t="s">
        <v>17</v>
      </c>
      <c r="E40" s="1" t="s">
        <v>29</v>
      </c>
      <c r="F40" s="1" t="s">
        <v>49</v>
      </c>
      <c r="G40" s="1">
        <v>7</v>
      </c>
      <c r="H40" s="1">
        <v>162</v>
      </c>
      <c r="I40" s="1">
        <v>1134</v>
      </c>
      <c r="J40" s="1" t="s">
        <v>30</v>
      </c>
    </row>
    <row r="41" spans="1:10" x14ac:dyDescent="0.3">
      <c r="A41" s="1" t="s">
        <v>73</v>
      </c>
      <c r="B41" s="3">
        <v>44927</v>
      </c>
      <c r="C41" s="1" t="s">
        <v>21</v>
      </c>
      <c r="D41" s="1" t="s">
        <v>40</v>
      </c>
      <c r="E41" s="1" t="s">
        <v>13</v>
      </c>
      <c r="F41" s="1" t="s">
        <v>60</v>
      </c>
      <c r="G41" s="1">
        <v>6</v>
      </c>
      <c r="H41" s="1">
        <v>208</v>
      </c>
      <c r="I41" s="1">
        <v>1248</v>
      </c>
      <c r="J41" s="1" t="s">
        <v>15</v>
      </c>
    </row>
    <row r="42" spans="1:10" x14ac:dyDescent="0.3">
      <c r="A42" s="1" t="s">
        <v>74</v>
      </c>
      <c r="B42" s="3">
        <v>45182</v>
      </c>
      <c r="C42" s="1" t="s">
        <v>32</v>
      </c>
      <c r="D42" s="1" t="s">
        <v>12</v>
      </c>
      <c r="E42" s="1" t="s">
        <v>13</v>
      </c>
      <c r="F42" s="1" t="s">
        <v>14</v>
      </c>
      <c r="G42" s="1">
        <v>3</v>
      </c>
      <c r="H42" s="1">
        <v>475</v>
      </c>
      <c r="I42" s="1">
        <v>1425</v>
      </c>
      <c r="J42" s="1" t="s">
        <v>27</v>
      </c>
    </row>
    <row r="43" spans="1:10" x14ac:dyDescent="0.3">
      <c r="A43" s="1" t="s">
        <v>75</v>
      </c>
      <c r="B43" s="3">
        <v>45084</v>
      </c>
      <c r="C43" s="1" t="s">
        <v>32</v>
      </c>
      <c r="D43" s="1" t="s">
        <v>17</v>
      </c>
      <c r="E43" s="1" t="s">
        <v>13</v>
      </c>
      <c r="F43" s="1" t="s">
        <v>42</v>
      </c>
      <c r="G43" s="1">
        <v>4</v>
      </c>
      <c r="H43" s="1">
        <v>263</v>
      </c>
      <c r="I43" s="1">
        <v>1052</v>
      </c>
      <c r="J43" s="1" t="s">
        <v>27</v>
      </c>
    </row>
    <row r="44" spans="1:10" x14ac:dyDescent="0.3">
      <c r="A44" s="1" t="s">
        <v>76</v>
      </c>
      <c r="B44" s="3">
        <v>44967</v>
      </c>
      <c r="C44" s="1" t="s">
        <v>36</v>
      </c>
      <c r="D44" s="1" t="s">
        <v>24</v>
      </c>
      <c r="E44" s="1" t="s">
        <v>13</v>
      </c>
      <c r="F44" s="1" t="s">
        <v>60</v>
      </c>
      <c r="G44" s="1">
        <v>7</v>
      </c>
      <c r="H44" s="1">
        <v>324</v>
      </c>
      <c r="I44" s="1">
        <v>2268</v>
      </c>
      <c r="J44" s="1" t="s">
        <v>15</v>
      </c>
    </row>
    <row r="45" spans="1:10" x14ac:dyDescent="0.3">
      <c r="A45" s="1" t="s">
        <v>77</v>
      </c>
      <c r="B45" s="3">
        <v>45277</v>
      </c>
      <c r="C45" s="1" t="s">
        <v>36</v>
      </c>
      <c r="D45" s="1" t="s">
        <v>12</v>
      </c>
      <c r="E45" s="1" t="s">
        <v>25</v>
      </c>
      <c r="F45" s="1" t="s">
        <v>22</v>
      </c>
      <c r="G45" s="1">
        <v>4</v>
      </c>
      <c r="H45" s="1">
        <v>156</v>
      </c>
      <c r="I45" s="1">
        <v>624</v>
      </c>
      <c r="J45" s="1" t="s">
        <v>15</v>
      </c>
    </row>
    <row r="46" spans="1:10" x14ac:dyDescent="0.3">
      <c r="A46" s="1" t="s">
        <v>78</v>
      </c>
      <c r="B46" s="3">
        <v>45015</v>
      </c>
      <c r="C46" s="1" t="s">
        <v>11</v>
      </c>
      <c r="D46" s="1" t="s">
        <v>17</v>
      </c>
      <c r="E46" s="1" t="s">
        <v>29</v>
      </c>
      <c r="F46" s="1" t="s">
        <v>42</v>
      </c>
      <c r="G46" s="1">
        <v>1</v>
      </c>
      <c r="H46" s="1">
        <v>350</v>
      </c>
      <c r="I46" s="1">
        <v>350</v>
      </c>
      <c r="J46" s="1" t="s">
        <v>15</v>
      </c>
    </row>
    <row r="47" spans="1:10" x14ac:dyDescent="0.3">
      <c r="A47" s="1" t="s">
        <v>79</v>
      </c>
      <c r="B47" s="3">
        <v>45002</v>
      </c>
      <c r="C47" s="1" t="s">
        <v>36</v>
      </c>
      <c r="D47" s="1" t="s">
        <v>12</v>
      </c>
      <c r="E47" s="1" t="s">
        <v>25</v>
      </c>
      <c r="F47" s="1" t="s">
        <v>26</v>
      </c>
      <c r="G47" s="1">
        <v>10</v>
      </c>
      <c r="H47" s="1">
        <v>485</v>
      </c>
      <c r="I47" s="1">
        <v>4850</v>
      </c>
      <c r="J47" s="1" t="s">
        <v>15</v>
      </c>
    </row>
    <row r="48" spans="1:10" x14ac:dyDescent="0.3">
      <c r="A48" s="1" t="s">
        <v>80</v>
      </c>
      <c r="B48" s="3">
        <v>44993</v>
      </c>
      <c r="C48" s="1" t="s">
        <v>32</v>
      </c>
      <c r="D48" s="1" t="s">
        <v>17</v>
      </c>
      <c r="E48" s="1" t="s">
        <v>25</v>
      </c>
      <c r="F48" s="1" t="s">
        <v>60</v>
      </c>
      <c r="G48" s="1">
        <v>5</v>
      </c>
      <c r="H48" s="1">
        <v>232</v>
      </c>
      <c r="I48" s="1">
        <v>1160</v>
      </c>
      <c r="J48" s="1" t="s">
        <v>15</v>
      </c>
    </row>
    <row r="49" spans="1:10" x14ac:dyDescent="0.3">
      <c r="A49" s="1" t="s">
        <v>81</v>
      </c>
      <c r="B49" s="3">
        <v>45232</v>
      </c>
      <c r="C49" s="1" t="s">
        <v>36</v>
      </c>
      <c r="D49" s="1" t="s">
        <v>17</v>
      </c>
      <c r="E49" s="1" t="s">
        <v>29</v>
      </c>
      <c r="F49" s="1" t="s">
        <v>42</v>
      </c>
      <c r="G49" s="1">
        <v>9</v>
      </c>
      <c r="H49" s="1">
        <v>22</v>
      </c>
      <c r="I49" s="1">
        <v>198</v>
      </c>
      <c r="J49" s="1" t="s">
        <v>30</v>
      </c>
    </row>
    <row r="50" spans="1:10" x14ac:dyDescent="0.3">
      <c r="A50" s="1" t="s">
        <v>82</v>
      </c>
      <c r="B50" s="3">
        <v>45226</v>
      </c>
      <c r="C50" s="1" t="s">
        <v>11</v>
      </c>
      <c r="D50" s="1" t="s">
        <v>24</v>
      </c>
      <c r="E50" s="1" t="s">
        <v>13</v>
      </c>
      <c r="F50" s="1" t="s">
        <v>42</v>
      </c>
      <c r="G50" s="1">
        <v>4</v>
      </c>
      <c r="H50" s="1">
        <v>160</v>
      </c>
      <c r="I50" s="1">
        <v>640</v>
      </c>
      <c r="J50" s="1" t="s">
        <v>30</v>
      </c>
    </row>
    <row r="51" spans="1:10" x14ac:dyDescent="0.3">
      <c r="A51" s="1" t="s">
        <v>83</v>
      </c>
      <c r="B51" s="3">
        <v>44930</v>
      </c>
      <c r="C51" s="1" t="s">
        <v>32</v>
      </c>
      <c r="D51" s="1" t="s">
        <v>24</v>
      </c>
      <c r="E51" s="1" t="s">
        <v>29</v>
      </c>
      <c r="F51" s="1" t="s">
        <v>14</v>
      </c>
      <c r="G51" s="1">
        <v>1</v>
      </c>
      <c r="H51" s="1">
        <v>494</v>
      </c>
      <c r="I51" s="1">
        <v>494</v>
      </c>
      <c r="J51" s="1" t="s">
        <v>30</v>
      </c>
    </row>
    <row r="52" spans="1:10" x14ac:dyDescent="0.3">
      <c r="A52" s="1" t="s">
        <v>84</v>
      </c>
      <c r="B52" s="3">
        <v>45229</v>
      </c>
      <c r="C52" s="1" t="s">
        <v>36</v>
      </c>
      <c r="D52" s="1" t="s">
        <v>40</v>
      </c>
      <c r="E52" s="1" t="s">
        <v>13</v>
      </c>
      <c r="F52" s="1" t="s">
        <v>42</v>
      </c>
      <c r="G52" s="1">
        <v>3</v>
      </c>
      <c r="H52" s="1">
        <v>17</v>
      </c>
      <c r="I52" s="1">
        <v>51</v>
      </c>
      <c r="J52" s="1" t="s">
        <v>15</v>
      </c>
    </row>
    <row r="53" spans="1:10" x14ac:dyDescent="0.3">
      <c r="A53" s="1" t="s">
        <v>85</v>
      </c>
      <c r="B53" s="3">
        <v>45030</v>
      </c>
      <c r="C53" s="1" t="s">
        <v>21</v>
      </c>
      <c r="D53" s="1" t="s">
        <v>33</v>
      </c>
      <c r="E53" s="1" t="s">
        <v>13</v>
      </c>
      <c r="F53" s="1" t="s">
        <v>26</v>
      </c>
      <c r="G53" s="1">
        <v>3</v>
      </c>
      <c r="H53" s="1">
        <v>300</v>
      </c>
      <c r="I53" s="1">
        <v>900</v>
      </c>
      <c r="J53" s="1" t="s">
        <v>30</v>
      </c>
    </row>
    <row r="54" spans="1:10" x14ac:dyDescent="0.3">
      <c r="A54" s="1" t="s">
        <v>86</v>
      </c>
      <c r="B54" s="3">
        <v>45257</v>
      </c>
      <c r="C54" s="1" t="s">
        <v>32</v>
      </c>
      <c r="D54" s="1" t="s">
        <v>33</v>
      </c>
      <c r="E54" s="1" t="s">
        <v>18</v>
      </c>
      <c r="F54" s="1" t="s">
        <v>19</v>
      </c>
      <c r="G54" s="1">
        <v>3</v>
      </c>
      <c r="H54" s="1">
        <v>309</v>
      </c>
      <c r="I54" s="1">
        <v>927</v>
      </c>
      <c r="J54" s="1" t="s">
        <v>27</v>
      </c>
    </row>
    <row r="55" spans="1:10" x14ac:dyDescent="0.3">
      <c r="A55" s="1" t="s">
        <v>87</v>
      </c>
      <c r="B55" s="3">
        <v>45077</v>
      </c>
      <c r="C55" s="1" t="s">
        <v>32</v>
      </c>
      <c r="D55" s="1" t="s">
        <v>40</v>
      </c>
      <c r="E55" s="1" t="s">
        <v>13</v>
      </c>
      <c r="F55" s="1" t="s">
        <v>42</v>
      </c>
      <c r="G55" s="1">
        <v>3</v>
      </c>
      <c r="H55" s="1">
        <v>304</v>
      </c>
      <c r="I55" s="1">
        <v>912</v>
      </c>
      <c r="J55" s="1" t="s">
        <v>15</v>
      </c>
    </row>
    <row r="56" spans="1:10" x14ac:dyDescent="0.3">
      <c r="A56" s="1" t="s">
        <v>88</v>
      </c>
      <c r="B56" s="3">
        <v>45147</v>
      </c>
      <c r="C56" s="1" t="s">
        <v>21</v>
      </c>
      <c r="D56" s="1" t="s">
        <v>17</v>
      </c>
      <c r="E56" s="1" t="s">
        <v>29</v>
      </c>
      <c r="F56" s="1" t="s">
        <v>34</v>
      </c>
      <c r="G56" s="1">
        <v>8</v>
      </c>
      <c r="H56" s="1">
        <v>325</v>
      </c>
      <c r="I56" s="1">
        <v>2600</v>
      </c>
      <c r="J56" s="1" t="s">
        <v>27</v>
      </c>
    </row>
    <row r="57" spans="1:10" x14ac:dyDescent="0.3">
      <c r="A57" s="1" t="s">
        <v>89</v>
      </c>
      <c r="B57" s="3">
        <v>45219</v>
      </c>
      <c r="C57" s="1" t="s">
        <v>11</v>
      </c>
      <c r="D57" s="1" t="s">
        <v>33</v>
      </c>
      <c r="E57" s="1" t="s">
        <v>18</v>
      </c>
      <c r="F57" s="1" t="s">
        <v>26</v>
      </c>
      <c r="G57" s="1">
        <v>6</v>
      </c>
      <c r="H57" s="1">
        <v>282</v>
      </c>
      <c r="I57" s="1">
        <v>1692</v>
      </c>
      <c r="J57" s="1" t="s">
        <v>30</v>
      </c>
    </row>
    <row r="58" spans="1:10" x14ac:dyDescent="0.3">
      <c r="A58" s="1" t="s">
        <v>90</v>
      </c>
      <c r="B58" s="3">
        <v>45255</v>
      </c>
      <c r="C58" s="1" t="s">
        <v>11</v>
      </c>
      <c r="D58" s="1" t="s">
        <v>12</v>
      </c>
      <c r="E58" s="1" t="s">
        <v>29</v>
      </c>
      <c r="F58" s="1" t="s">
        <v>22</v>
      </c>
      <c r="G58" s="1">
        <v>2</v>
      </c>
      <c r="H58" s="1">
        <v>302</v>
      </c>
      <c r="I58" s="1">
        <v>604</v>
      </c>
      <c r="J58" s="1" t="s">
        <v>30</v>
      </c>
    </row>
    <row r="59" spans="1:10" x14ac:dyDescent="0.3">
      <c r="A59" s="1" t="s">
        <v>91</v>
      </c>
      <c r="B59" s="3">
        <v>45094</v>
      </c>
      <c r="C59" s="1" t="s">
        <v>32</v>
      </c>
      <c r="D59" s="1" t="s">
        <v>33</v>
      </c>
      <c r="E59" s="1" t="s">
        <v>25</v>
      </c>
      <c r="F59" s="1" t="s">
        <v>49</v>
      </c>
      <c r="G59" s="1">
        <v>9</v>
      </c>
      <c r="H59" s="1">
        <v>477</v>
      </c>
      <c r="I59" s="1">
        <v>4293</v>
      </c>
      <c r="J59" s="1" t="s">
        <v>15</v>
      </c>
    </row>
    <row r="60" spans="1:10" x14ac:dyDescent="0.3">
      <c r="A60" s="1" t="s">
        <v>92</v>
      </c>
      <c r="B60" s="3">
        <v>45133</v>
      </c>
      <c r="C60" s="1" t="s">
        <v>32</v>
      </c>
      <c r="D60" s="1" t="s">
        <v>12</v>
      </c>
      <c r="E60" s="1" t="s">
        <v>18</v>
      </c>
      <c r="F60" s="1" t="s">
        <v>49</v>
      </c>
      <c r="G60" s="1">
        <v>4</v>
      </c>
      <c r="H60" s="1">
        <v>164</v>
      </c>
      <c r="I60" s="1">
        <v>656</v>
      </c>
      <c r="J60" s="1" t="s">
        <v>30</v>
      </c>
    </row>
    <row r="61" spans="1:10" x14ac:dyDescent="0.3">
      <c r="A61" s="1" t="s">
        <v>93</v>
      </c>
      <c r="B61" s="3">
        <v>45120</v>
      </c>
      <c r="C61" s="1" t="s">
        <v>21</v>
      </c>
      <c r="D61" s="1" t="s">
        <v>24</v>
      </c>
      <c r="E61" s="1" t="s">
        <v>25</v>
      </c>
      <c r="F61" s="1" t="s">
        <v>14</v>
      </c>
      <c r="G61" s="1">
        <v>8</v>
      </c>
      <c r="H61" s="1">
        <v>402</v>
      </c>
      <c r="I61" s="1">
        <v>3216</v>
      </c>
      <c r="J61" s="1" t="s">
        <v>30</v>
      </c>
    </row>
    <row r="62" spans="1:10" x14ac:dyDescent="0.3">
      <c r="A62" s="1" t="s">
        <v>94</v>
      </c>
      <c r="B62" s="3">
        <v>45011</v>
      </c>
      <c r="C62" s="1" t="s">
        <v>11</v>
      </c>
      <c r="D62" s="1" t="s">
        <v>40</v>
      </c>
      <c r="E62" s="1" t="s">
        <v>18</v>
      </c>
      <c r="F62" s="1" t="s">
        <v>26</v>
      </c>
      <c r="G62" s="1">
        <v>5</v>
      </c>
      <c r="H62" s="1">
        <v>113</v>
      </c>
      <c r="I62" s="1">
        <v>565</v>
      </c>
      <c r="J62" s="1" t="s">
        <v>27</v>
      </c>
    </row>
    <row r="63" spans="1:10" x14ac:dyDescent="0.3">
      <c r="A63" s="1" t="s">
        <v>95</v>
      </c>
      <c r="B63" s="3">
        <v>45005</v>
      </c>
      <c r="C63" s="1" t="s">
        <v>36</v>
      </c>
      <c r="D63" s="1" t="s">
        <v>40</v>
      </c>
      <c r="E63" s="1" t="s">
        <v>25</v>
      </c>
      <c r="F63" s="1" t="s">
        <v>19</v>
      </c>
      <c r="G63" s="1">
        <v>8</v>
      </c>
      <c r="H63" s="1">
        <v>342</v>
      </c>
      <c r="I63" s="1">
        <v>2736</v>
      </c>
      <c r="J63" s="1" t="s">
        <v>15</v>
      </c>
    </row>
    <row r="64" spans="1:10" x14ac:dyDescent="0.3">
      <c r="A64" s="1" t="s">
        <v>96</v>
      </c>
      <c r="B64" s="3">
        <v>45222</v>
      </c>
      <c r="C64" s="1" t="s">
        <v>21</v>
      </c>
      <c r="D64" s="1" t="s">
        <v>24</v>
      </c>
      <c r="E64" s="1" t="s">
        <v>25</v>
      </c>
      <c r="F64" s="1" t="s">
        <v>34</v>
      </c>
      <c r="G64" s="1">
        <v>9</v>
      </c>
      <c r="H64" s="1">
        <v>270</v>
      </c>
      <c r="I64" s="1">
        <v>2430</v>
      </c>
      <c r="J64" s="1" t="s">
        <v>27</v>
      </c>
    </row>
    <row r="65" spans="1:10" x14ac:dyDescent="0.3">
      <c r="A65" s="1" t="s">
        <v>97</v>
      </c>
      <c r="B65" s="3">
        <v>45234</v>
      </c>
      <c r="C65" s="1" t="s">
        <v>32</v>
      </c>
      <c r="D65" s="1" t="s">
        <v>40</v>
      </c>
      <c r="E65" s="1" t="s">
        <v>25</v>
      </c>
      <c r="F65" s="1" t="s">
        <v>26</v>
      </c>
      <c r="G65" s="1">
        <v>2</v>
      </c>
      <c r="H65" s="1">
        <v>227</v>
      </c>
      <c r="I65" s="1">
        <v>454</v>
      </c>
      <c r="J65" s="1" t="s">
        <v>27</v>
      </c>
    </row>
    <row r="66" spans="1:10" x14ac:dyDescent="0.3">
      <c r="A66" s="1" t="s">
        <v>98</v>
      </c>
      <c r="B66" s="3">
        <v>44935</v>
      </c>
      <c r="C66" s="1" t="s">
        <v>21</v>
      </c>
      <c r="D66" s="1" t="s">
        <v>40</v>
      </c>
      <c r="E66" s="1" t="s">
        <v>29</v>
      </c>
      <c r="F66" s="1" t="s">
        <v>42</v>
      </c>
      <c r="G66" s="1">
        <v>8</v>
      </c>
      <c r="H66" s="1">
        <v>293</v>
      </c>
      <c r="I66" s="1">
        <v>2344</v>
      </c>
      <c r="J66" s="1" t="s">
        <v>30</v>
      </c>
    </row>
    <row r="67" spans="1:10" x14ac:dyDescent="0.3">
      <c r="A67" s="1" t="s">
        <v>99</v>
      </c>
      <c r="B67" s="3">
        <v>45053</v>
      </c>
      <c r="C67" s="1" t="s">
        <v>11</v>
      </c>
      <c r="D67" s="1" t="s">
        <v>24</v>
      </c>
      <c r="E67" s="1" t="s">
        <v>29</v>
      </c>
      <c r="F67" s="1" t="s">
        <v>19</v>
      </c>
      <c r="G67" s="1">
        <v>10</v>
      </c>
      <c r="H67" s="1">
        <v>489</v>
      </c>
      <c r="I67" s="1">
        <v>4890</v>
      </c>
      <c r="J67" s="1" t="s">
        <v>30</v>
      </c>
    </row>
    <row r="68" spans="1:10" x14ac:dyDescent="0.3">
      <c r="A68" s="1" t="s">
        <v>100</v>
      </c>
      <c r="B68" s="3">
        <v>44967</v>
      </c>
      <c r="C68" s="1" t="s">
        <v>36</v>
      </c>
      <c r="D68" s="1" t="s">
        <v>24</v>
      </c>
      <c r="E68" s="1" t="s">
        <v>25</v>
      </c>
      <c r="F68" s="1" t="s">
        <v>42</v>
      </c>
      <c r="G68" s="1">
        <v>7</v>
      </c>
      <c r="H68" s="1">
        <v>86</v>
      </c>
      <c r="I68" s="1">
        <v>602</v>
      </c>
      <c r="J68" s="1" t="s">
        <v>30</v>
      </c>
    </row>
    <row r="69" spans="1:10" x14ac:dyDescent="0.3">
      <c r="A69" s="1" t="s">
        <v>101</v>
      </c>
      <c r="B69" s="3">
        <v>45050</v>
      </c>
      <c r="C69" s="1" t="s">
        <v>11</v>
      </c>
      <c r="D69" s="1" t="s">
        <v>33</v>
      </c>
      <c r="E69" s="1" t="s">
        <v>18</v>
      </c>
      <c r="F69" s="1" t="s">
        <v>34</v>
      </c>
      <c r="G69" s="1">
        <v>8</v>
      </c>
      <c r="H69" s="1">
        <v>313</v>
      </c>
      <c r="I69" s="1">
        <v>2504</v>
      </c>
      <c r="J69" s="1" t="s">
        <v>15</v>
      </c>
    </row>
    <row r="70" spans="1:10" x14ac:dyDescent="0.3">
      <c r="A70" s="1" t="s">
        <v>102</v>
      </c>
      <c r="B70" s="3">
        <v>45111</v>
      </c>
      <c r="C70" s="1" t="s">
        <v>21</v>
      </c>
      <c r="D70" s="1" t="s">
        <v>24</v>
      </c>
      <c r="E70" s="1" t="s">
        <v>13</v>
      </c>
      <c r="F70" s="1" t="s">
        <v>60</v>
      </c>
      <c r="G70" s="1">
        <v>1</v>
      </c>
      <c r="H70" s="1">
        <v>403</v>
      </c>
      <c r="I70" s="1">
        <v>403</v>
      </c>
      <c r="J70" s="1" t="s">
        <v>27</v>
      </c>
    </row>
    <row r="71" spans="1:10" x14ac:dyDescent="0.3">
      <c r="A71" s="1" t="s">
        <v>103</v>
      </c>
      <c r="B71" s="3">
        <v>44992</v>
      </c>
      <c r="C71" s="1" t="s">
        <v>32</v>
      </c>
      <c r="D71" s="1" t="s">
        <v>12</v>
      </c>
      <c r="E71" s="1" t="s">
        <v>29</v>
      </c>
      <c r="F71" s="1" t="s">
        <v>19</v>
      </c>
      <c r="G71" s="1">
        <v>2</v>
      </c>
      <c r="H71" s="1">
        <v>377</v>
      </c>
      <c r="I71" s="1">
        <v>754</v>
      </c>
      <c r="J71" s="1" t="s">
        <v>27</v>
      </c>
    </row>
    <row r="72" spans="1:10" x14ac:dyDescent="0.3">
      <c r="A72" s="1" t="s">
        <v>104</v>
      </c>
      <c r="B72" s="3">
        <v>45070</v>
      </c>
      <c r="C72" s="1" t="s">
        <v>36</v>
      </c>
      <c r="D72" s="1" t="s">
        <v>24</v>
      </c>
      <c r="E72" s="1" t="s">
        <v>13</v>
      </c>
      <c r="F72" s="1" t="s">
        <v>14</v>
      </c>
      <c r="G72" s="1">
        <v>4</v>
      </c>
      <c r="H72" s="1">
        <v>42</v>
      </c>
      <c r="I72" s="1">
        <v>168</v>
      </c>
      <c r="J72" s="1" t="s">
        <v>15</v>
      </c>
    </row>
    <row r="73" spans="1:10" x14ac:dyDescent="0.3">
      <c r="A73" s="1" t="s">
        <v>105</v>
      </c>
      <c r="B73" s="3">
        <v>44994</v>
      </c>
      <c r="C73" s="1" t="s">
        <v>36</v>
      </c>
      <c r="D73" s="1" t="s">
        <v>40</v>
      </c>
      <c r="E73" s="1" t="s">
        <v>18</v>
      </c>
      <c r="F73" s="1" t="s">
        <v>19</v>
      </c>
      <c r="G73" s="1">
        <v>2</v>
      </c>
      <c r="H73" s="1">
        <v>335</v>
      </c>
      <c r="I73" s="1">
        <v>670</v>
      </c>
      <c r="J73" s="1" t="s">
        <v>27</v>
      </c>
    </row>
    <row r="74" spans="1:10" x14ac:dyDescent="0.3">
      <c r="A74" s="1" t="s">
        <v>106</v>
      </c>
      <c r="B74" s="3">
        <v>45052</v>
      </c>
      <c r="C74" s="1" t="s">
        <v>21</v>
      </c>
      <c r="D74" s="1" t="s">
        <v>17</v>
      </c>
      <c r="E74" s="1" t="s">
        <v>29</v>
      </c>
      <c r="F74" s="1" t="s">
        <v>60</v>
      </c>
      <c r="G74" s="1">
        <v>2</v>
      </c>
      <c r="H74" s="1">
        <v>482</v>
      </c>
      <c r="I74" s="1">
        <v>964</v>
      </c>
      <c r="J74" s="1" t="s">
        <v>27</v>
      </c>
    </row>
    <row r="75" spans="1:10" x14ac:dyDescent="0.3">
      <c r="A75" s="1" t="s">
        <v>107</v>
      </c>
      <c r="B75" s="3">
        <v>44969</v>
      </c>
      <c r="C75" s="1" t="s">
        <v>36</v>
      </c>
      <c r="D75" s="1" t="s">
        <v>24</v>
      </c>
      <c r="E75" s="1" t="s">
        <v>29</v>
      </c>
      <c r="F75" s="1" t="s">
        <v>19</v>
      </c>
      <c r="G75" s="1">
        <v>5</v>
      </c>
      <c r="H75" s="1">
        <v>214</v>
      </c>
      <c r="I75" s="1">
        <v>1070</v>
      </c>
      <c r="J75" s="1" t="s">
        <v>27</v>
      </c>
    </row>
    <row r="76" spans="1:10" x14ac:dyDescent="0.3">
      <c r="A76" s="1" t="s">
        <v>108</v>
      </c>
      <c r="B76" s="3">
        <v>45181</v>
      </c>
      <c r="C76" s="1" t="s">
        <v>32</v>
      </c>
      <c r="D76" s="1" t="s">
        <v>24</v>
      </c>
      <c r="E76" s="1" t="s">
        <v>25</v>
      </c>
      <c r="F76" s="1" t="s">
        <v>26</v>
      </c>
      <c r="G76" s="1">
        <v>1</v>
      </c>
      <c r="H76" s="1">
        <v>257</v>
      </c>
      <c r="I76" s="1">
        <v>257</v>
      </c>
      <c r="J76" s="1" t="s">
        <v>27</v>
      </c>
    </row>
    <row r="77" spans="1:10" x14ac:dyDescent="0.3">
      <c r="A77" s="1" t="s">
        <v>109</v>
      </c>
      <c r="B77" s="3">
        <v>45016</v>
      </c>
      <c r="C77" s="1" t="s">
        <v>21</v>
      </c>
      <c r="D77" s="1" t="s">
        <v>12</v>
      </c>
      <c r="E77" s="1" t="s">
        <v>29</v>
      </c>
      <c r="F77" s="1" t="s">
        <v>22</v>
      </c>
      <c r="G77" s="1">
        <v>1</v>
      </c>
      <c r="H77" s="1">
        <v>447</v>
      </c>
      <c r="I77" s="1">
        <v>447</v>
      </c>
      <c r="J77" s="1" t="s">
        <v>30</v>
      </c>
    </row>
    <row r="78" spans="1:10" x14ac:dyDescent="0.3">
      <c r="A78" s="1" t="s">
        <v>110</v>
      </c>
      <c r="B78" s="3">
        <v>45074</v>
      </c>
      <c r="C78" s="1" t="s">
        <v>21</v>
      </c>
      <c r="D78" s="1" t="s">
        <v>24</v>
      </c>
      <c r="E78" s="1" t="s">
        <v>29</v>
      </c>
      <c r="F78" s="1" t="s">
        <v>19</v>
      </c>
      <c r="G78" s="1">
        <v>8</v>
      </c>
      <c r="H78" s="1">
        <v>256</v>
      </c>
      <c r="I78" s="1">
        <v>2048</v>
      </c>
      <c r="J78" s="1" t="s">
        <v>27</v>
      </c>
    </row>
    <row r="79" spans="1:10" x14ac:dyDescent="0.3">
      <c r="A79" s="1" t="s">
        <v>111</v>
      </c>
      <c r="B79" s="3">
        <v>45064</v>
      </c>
      <c r="C79" s="1" t="s">
        <v>11</v>
      </c>
      <c r="D79" s="1" t="s">
        <v>24</v>
      </c>
      <c r="E79" s="1" t="s">
        <v>18</v>
      </c>
      <c r="F79" s="1" t="s">
        <v>60</v>
      </c>
      <c r="G79" s="1">
        <v>6</v>
      </c>
      <c r="H79" s="1">
        <v>348</v>
      </c>
      <c r="I79" s="1">
        <v>2088</v>
      </c>
      <c r="J79" s="1" t="s">
        <v>30</v>
      </c>
    </row>
    <row r="80" spans="1:10" x14ac:dyDescent="0.3">
      <c r="A80" s="1" t="s">
        <v>112</v>
      </c>
      <c r="B80" s="3">
        <v>45070</v>
      </c>
      <c r="C80" s="1" t="s">
        <v>11</v>
      </c>
      <c r="D80" s="1" t="s">
        <v>24</v>
      </c>
      <c r="E80" s="1" t="s">
        <v>13</v>
      </c>
      <c r="F80" s="1" t="s">
        <v>19</v>
      </c>
      <c r="G80" s="1">
        <v>6</v>
      </c>
      <c r="H80" s="1">
        <v>47</v>
      </c>
      <c r="I80" s="1">
        <v>282</v>
      </c>
      <c r="J80" s="1" t="s">
        <v>15</v>
      </c>
    </row>
    <row r="81" spans="1:10" x14ac:dyDescent="0.3">
      <c r="A81" s="1" t="s">
        <v>113</v>
      </c>
      <c r="B81" s="3">
        <v>45100</v>
      </c>
      <c r="C81" s="1" t="s">
        <v>36</v>
      </c>
      <c r="D81" s="1" t="s">
        <v>24</v>
      </c>
      <c r="E81" s="1" t="s">
        <v>13</v>
      </c>
      <c r="F81" s="1" t="s">
        <v>60</v>
      </c>
      <c r="G81" s="1">
        <v>4</v>
      </c>
      <c r="H81" s="1">
        <v>405</v>
      </c>
      <c r="I81" s="1">
        <v>1620</v>
      </c>
      <c r="J81" s="1" t="s">
        <v>30</v>
      </c>
    </row>
    <row r="82" spans="1:10" x14ac:dyDescent="0.3">
      <c r="A82" s="1" t="s">
        <v>114</v>
      </c>
      <c r="B82" s="3">
        <v>45178</v>
      </c>
      <c r="C82" s="1" t="s">
        <v>32</v>
      </c>
      <c r="D82" s="1" t="s">
        <v>24</v>
      </c>
      <c r="E82" s="1" t="s">
        <v>25</v>
      </c>
      <c r="F82" s="1" t="s">
        <v>22</v>
      </c>
      <c r="G82" s="1">
        <v>5</v>
      </c>
      <c r="H82" s="1">
        <v>363</v>
      </c>
      <c r="I82" s="1">
        <v>1815</v>
      </c>
      <c r="J82" s="1" t="s">
        <v>15</v>
      </c>
    </row>
    <row r="83" spans="1:10" x14ac:dyDescent="0.3">
      <c r="A83" s="1" t="s">
        <v>115</v>
      </c>
      <c r="B83" s="3">
        <v>44972</v>
      </c>
      <c r="C83" s="1" t="s">
        <v>32</v>
      </c>
      <c r="D83" s="1" t="s">
        <v>12</v>
      </c>
      <c r="E83" s="1" t="s">
        <v>29</v>
      </c>
      <c r="F83" s="1" t="s">
        <v>26</v>
      </c>
      <c r="G83" s="1">
        <v>3</v>
      </c>
      <c r="H83" s="1">
        <v>108</v>
      </c>
      <c r="I83" s="1">
        <v>324</v>
      </c>
      <c r="J83" s="1" t="s">
        <v>30</v>
      </c>
    </row>
    <row r="84" spans="1:10" x14ac:dyDescent="0.3">
      <c r="A84" s="1" t="s">
        <v>116</v>
      </c>
      <c r="B84" s="3">
        <v>44966</v>
      </c>
      <c r="C84" s="1" t="s">
        <v>36</v>
      </c>
      <c r="D84" s="1" t="s">
        <v>40</v>
      </c>
      <c r="E84" s="1" t="s">
        <v>18</v>
      </c>
      <c r="F84" s="1" t="s">
        <v>14</v>
      </c>
      <c r="G84" s="1">
        <v>9</v>
      </c>
      <c r="H84" s="1">
        <v>306</v>
      </c>
      <c r="I84" s="1">
        <v>2754</v>
      </c>
      <c r="J84" s="1" t="s">
        <v>30</v>
      </c>
    </row>
    <row r="85" spans="1:10" x14ac:dyDescent="0.3">
      <c r="A85" s="1" t="s">
        <v>117</v>
      </c>
      <c r="B85" s="3">
        <v>45194</v>
      </c>
      <c r="C85" s="1" t="s">
        <v>21</v>
      </c>
      <c r="D85" s="1" t="s">
        <v>33</v>
      </c>
      <c r="E85" s="1" t="s">
        <v>13</v>
      </c>
      <c r="F85" s="1" t="s">
        <v>19</v>
      </c>
      <c r="G85" s="1">
        <v>5</v>
      </c>
      <c r="H85" s="1">
        <v>349</v>
      </c>
      <c r="I85" s="1">
        <v>1745</v>
      </c>
      <c r="J85" s="1" t="s">
        <v>30</v>
      </c>
    </row>
    <row r="86" spans="1:10" x14ac:dyDescent="0.3">
      <c r="A86" s="1" t="s">
        <v>118</v>
      </c>
      <c r="B86" s="3">
        <v>45283</v>
      </c>
      <c r="C86" s="1" t="s">
        <v>11</v>
      </c>
      <c r="D86" s="1" t="s">
        <v>40</v>
      </c>
      <c r="E86" s="1" t="s">
        <v>18</v>
      </c>
      <c r="F86" s="1" t="s">
        <v>19</v>
      </c>
      <c r="G86" s="1">
        <v>4</v>
      </c>
      <c r="H86" s="1">
        <v>188</v>
      </c>
      <c r="I86" s="1">
        <v>752</v>
      </c>
      <c r="J86" s="1" t="s">
        <v>27</v>
      </c>
    </row>
    <row r="87" spans="1:10" x14ac:dyDescent="0.3">
      <c r="A87" s="1" t="s">
        <v>119</v>
      </c>
      <c r="B87" s="3">
        <v>45179</v>
      </c>
      <c r="C87" s="1" t="s">
        <v>21</v>
      </c>
      <c r="D87" s="1" t="s">
        <v>40</v>
      </c>
      <c r="E87" s="1" t="s">
        <v>29</v>
      </c>
      <c r="F87" s="1" t="s">
        <v>42</v>
      </c>
      <c r="G87" s="1">
        <v>9</v>
      </c>
      <c r="H87" s="1">
        <v>108</v>
      </c>
      <c r="I87" s="1">
        <v>972</v>
      </c>
      <c r="J87" s="1" t="s">
        <v>30</v>
      </c>
    </row>
    <row r="88" spans="1:10" x14ac:dyDescent="0.3">
      <c r="A88" s="1" t="s">
        <v>120</v>
      </c>
      <c r="B88" s="3">
        <v>45119</v>
      </c>
      <c r="C88" s="1" t="s">
        <v>21</v>
      </c>
      <c r="D88" s="1" t="s">
        <v>40</v>
      </c>
      <c r="E88" s="1" t="s">
        <v>29</v>
      </c>
      <c r="F88" s="1" t="s">
        <v>42</v>
      </c>
      <c r="G88" s="1">
        <v>8</v>
      </c>
      <c r="H88" s="1">
        <v>460</v>
      </c>
      <c r="I88" s="1">
        <v>3680</v>
      </c>
      <c r="J88" s="1" t="s">
        <v>27</v>
      </c>
    </row>
    <row r="89" spans="1:10" x14ac:dyDescent="0.3">
      <c r="A89" s="1" t="s">
        <v>121</v>
      </c>
      <c r="B89" s="3">
        <v>45144</v>
      </c>
      <c r="C89" s="1" t="s">
        <v>11</v>
      </c>
      <c r="D89" s="1" t="s">
        <v>40</v>
      </c>
      <c r="E89" s="1" t="s">
        <v>29</v>
      </c>
      <c r="F89" s="1" t="s">
        <v>19</v>
      </c>
      <c r="G89" s="1">
        <v>10</v>
      </c>
      <c r="H89" s="1">
        <v>147</v>
      </c>
      <c r="I89" s="1">
        <v>1470</v>
      </c>
      <c r="J89" s="1" t="s">
        <v>27</v>
      </c>
    </row>
    <row r="90" spans="1:10" x14ac:dyDescent="0.3">
      <c r="A90" s="1" t="s">
        <v>122</v>
      </c>
      <c r="B90" s="3">
        <v>45051</v>
      </c>
      <c r="C90" s="1" t="s">
        <v>11</v>
      </c>
      <c r="D90" s="1" t="s">
        <v>17</v>
      </c>
      <c r="E90" s="1" t="s">
        <v>25</v>
      </c>
      <c r="F90" s="1" t="s">
        <v>14</v>
      </c>
      <c r="G90" s="1">
        <v>9</v>
      </c>
      <c r="H90" s="1">
        <v>169</v>
      </c>
      <c r="I90" s="1">
        <v>1521</v>
      </c>
      <c r="J90" s="1" t="s">
        <v>27</v>
      </c>
    </row>
    <row r="91" spans="1:10" x14ac:dyDescent="0.3">
      <c r="A91" s="1" t="s">
        <v>123</v>
      </c>
      <c r="B91" s="3">
        <v>45216</v>
      </c>
      <c r="C91" s="1" t="s">
        <v>21</v>
      </c>
      <c r="D91" s="1" t="s">
        <v>33</v>
      </c>
      <c r="E91" s="1" t="s">
        <v>29</v>
      </c>
      <c r="F91" s="1" t="s">
        <v>60</v>
      </c>
      <c r="G91" s="1">
        <v>7</v>
      </c>
      <c r="H91" s="1">
        <v>480</v>
      </c>
      <c r="I91" s="1">
        <v>3360</v>
      </c>
      <c r="J91" s="1" t="s">
        <v>15</v>
      </c>
    </row>
    <row r="92" spans="1:10" x14ac:dyDescent="0.3">
      <c r="A92" s="1" t="s">
        <v>124</v>
      </c>
      <c r="B92" s="3">
        <v>45121</v>
      </c>
      <c r="C92" s="1" t="s">
        <v>36</v>
      </c>
      <c r="D92" s="1" t="s">
        <v>33</v>
      </c>
      <c r="E92" s="1" t="s">
        <v>29</v>
      </c>
      <c r="F92" s="1" t="s">
        <v>34</v>
      </c>
      <c r="G92" s="1">
        <v>2</v>
      </c>
      <c r="H92" s="1">
        <v>417</v>
      </c>
      <c r="I92" s="1">
        <v>834</v>
      </c>
      <c r="J92" s="1" t="s">
        <v>15</v>
      </c>
    </row>
    <row r="93" spans="1:10" x14ac:dyDescent="0.3">
      <c r="A93" s="1" t="s">
        <v>125</v>
      </c>
      <c r="B93" s="3">
        <v>44937</v>
      </c>
      <c r="C93" s="1" t="s">
        <v>36</v>
      </c>
      <c r="D93" s="1" t="s">
        <v>40</v>
      </c>
      <c r="E93" s="1" t="s">
        <v>29</v>
      </c>
      <c r="F93" s="1" t="s">
        <v>14</v>
      </c>
      <c r="G93" s="1">
        <v>3</v>
      </c>
      <c r="H93" s="1">
        <v>344</v>
      </c>
      <c r="I93" s="1">
        <v>1032</v>
      </c>
      <c r="J93" s="1" t="s">
        <v>15</v>
      </c>
    </row>
    <row r="94" spans="1:10" x14ac:dyDescent="0.3">
      <c r="A94" s="1" t="s">
        <v>126</v>
      </c>
      <c r="B94" s="3">
        <v>45286</v>
      </c>
      <c r="C94" s="1" t="s">
        <v>32</v>
      </c>
      <c r="D94" s="1" t="s">
        <v>12</v>
      </c>
      <c r="E94" s="1" t="s">
        <v>25</v>
      </c>
      <c r="F94" s="1" t="s">
        <v>34</v>
      </c>
      <c r="G94" s="1">
        <v>6</v>
      </c>
      <c r="H94" s="1">
        <v>427</v>
      </c>
      <c r="I94" s="1">
        <v>2562</v>
      </c>
      <c r="J94" s="1" t="s">
        <v>27</v>
      </c>
    </row>
    <row r="95" spans="1:10" x14ac:dyDescent="0.3">
      <c r="A95" s="1" t="s">
        <v>127</v>
      </c>
      <c r="B95" s="3">
        <v>44960</v>
      </c>
      <c r="C95" s="1" t="s">
        <v>11</v>
      </c>
      <c r="D95" s="1" t="s">
        <v>33</v>
      </c>
      <c r="E95" s="1" t="s">
        <v>18</v>
      </c>
      <c r="F95" s="1" t="s">
        <v>42</v>
      </c>
      <c r="G95" s="1">
        <v>1</v>
      </c>
      <c r="H95" s="1">
        <v>145</v>
      </c>
      <c r="I95" s="1">
        <v>145</v>
      </c>
      <c r="J95" s="1" t="s">
        <v>15</v>
      </c>
    </row>
    <row r="96" spans="1:10" x14ac:dyDescent="0.3">
      <c r="A96" s="1" t="s">
        <v>128</v>
      </c>
      <c r="B96" s="3">
        <v>45096</v>
      </c>
      <c r="C96" s="1" t="s">
        <v>11</v>
      </c>
      <c r="D96" s="1" t="s">
        <v>33</v>
      </c>
      <c r="E96" s="1" t="s">
        <v>29</v>
      </c>
      <c r="F96" s="1" t="s">
        <v>34</v>
      </c>
      <c r="G96" s="1">
        <v>4</v>
      </c>
      <c r="H96" s="1">
        <v>345</v>
      </c>
      <c r="I96" s="1">
        <v>1380</v>
      </c>
      <c r="J96" s="1" t="s">
        <v>15</v>
      </c>
    </row>
    <row r="97" spans="1:10" x14ac:dyDescent="0.3">
      <c r="A97" s="1" t="s">
        <v>129</v>
      </c>
      <c r="B97" s="3">
        <v>45282</v>
      </c>
      <c r="C97" s="1" t="s">
        <v>11</v>
      </c>
      <c r="D97" s="1" t="s">
        <v>33</v>
      </c>
      <c r="E97" s="1" t="s">
        <v>13</v>
      </c>
      <c r="F97" s="1" t="s">
        <v>22</v>
      </c>
      <c r="G97" s="1">
        <v>6</v>
      </c>
      <c r="H97" s="1">
        <v>227</v>
      </c>
      <c r="I97" s="1">
        <v>1362</v>
      </c>
      <c r="J97" s="1" t="s">
        <v>30</v>
      </c>
    </row>
    <row r="98" spans="1:10" x14ac:dyDescent="0.3">
      <c r="A98" s="1" t="s">
        <v>130</v>
      </c>
      <c r="B98" s="3">
        <v>45183</v>
      </c>
      <c r="C98" s="1" t="s">
        <v>32</v>
      </c>
      <c r="D98" s="1" t="s">
        <v>12</v>
      </c>
      <c r="E98" s="1" t="s">
        <v>25</v>
      </c>
      <c r="F98" s="1" t="s">
        <v>19</v>
      </c>
      <c r="G98" s="1">
        <v>7</v>
      </c>
      <c r="H98" s="1">
        <v>47</v>
      </c>
      <c r="I98" s="1">
        <v>329</v>
      </c>
      <c r="J98" s="1" t="s">
        <v>27</v>
      </c>
    </row>
    <row r="99" spans="1:10" x14ac:dyDescent="0.3">
      <c r="A99" s="1" t="s">
        <v>131</v>
      </c>
      <c r="B99" s="3">
        <v>45026</v>
      </c>
      <c r="C99" s="1" t="s">
        <v>11</v>
      </c>
      <c r="D99" s="1" t="s">
        <v>40</v>
      </c>
      <c r="E99" s="1" t="s">
        <v>25</v>
      </c>
      <c r="F99" s="1" t="s">
        <v>34</v>
      </c>
      <c r="G99" s="1">
        <v>9</v>
      </c>
      <c r="H99" s="1">
        <v>427</v>
      </c>
      <c r="I99" s="1">
        <v>3843</v>
      </c>
      <c r="J99" s="1" t="s">
        <v>15</v>
      </c>
    </row>
    <row r="100" spans="1:10" x14ac:dyDescent="0.3">
      <c r="A100" s="1" t="s">
        <v>132</v>
      </c>
      <c r="B100" s="3">
        <v>44979</v>
      </c>
      <c r="C100" s="1" t="s">
        <v>21</v>
      </c>
      <c r="D100" s="1" t="s">
        <v>33</v>
      </c>
      <c r="E100" s="1" t="s">
        <v>29</v>
      </c>
      <c r="F100" s="1" t="s">
        <v>14</v>
      </c>
      <c r="G100" s="1">
        <v>6</v>
      </c>
      <c r="H100" s="1">
        <v>491</v>
      </c>
      <c r="I100" s="1">
        <v>2946</v>
      </c>
      <c r="J100" s="1" t="s">
        <v>15</v>
      </c>
    </row>
    <row r="101" spans="1:10" x14ac:dyDescent="0.3">
      <c r="A101" s="1" t="s">
        <v>133</v>
      </c>
      <c r="B101" s="3">
        <v>45189</v>
      </c>
      <c r="C101" s="1" t="s">
        <v>32</v>
      </c>
      <c r="D101" s="1" t="s">
        <v>33</v>
      </c>
      <c r="E101" s="1" t="s">
        <v>13</v>
      </c>
      <c r="F101" s="1" t="s">
        <v>42</v>
      </c>
      <c r="G101" s="1">
        <v>4</v>
      </c>
      <c r="H101" s="1">
        <v>326</v>
      </c>
      <c r="I101" s="1">
        <v>1304</v>
      </c>
      <c r="J101" s="1" t="s">
        <v>15</v>
      </c>
    </row>
    <row r="102" spans="1:10" x14ac:dyDescent="0.3">
      <c r="A102" s="1" t="s">
        <v>134</v>
      </c>
      <c r="B102" s="3">
        <v>45092</v>
      </c>
      <c r="C102" s="1" t="s">
        <v>36</v>
      </c>
      <c r="D102" s="1" t="s">
        <v>12</v>
      </c>
      <c r="E102" s="1" t="s">
        <v>18</v>
      </c>
      <c r="F102" s="1" t="s">
        <v>26</v>
      </c>
      <c r="G102" s="1">
        <v>9</v>
      </c>
      <c r="H102" s="1">
        <v>49</v>
      </c>
      <c r="I102" s="1">
        <v>441</v>
      </c>
      <c r="J102" s="1" t="s">
        <v>27</v>
      </c>
    </row>
    <row r="103" spans="1:10" x14ac:dyDescent="0.3">
      <c r="A103" s="1" t="s">
        <v>135</v>
      </c>
      <c r="B103" s="3">
        <v>45076</v>
      </c>
      <c r="C103" s="1" t="s">
        <v>32</v>
      </c>
      <c r="D103" s="1" t="s">
        <v>33</v>
      </c>
      <c r="E103" s="1" t="s">
        <v>25</v>
      </c>
      <c r="F103" s="1" t="s">
        <v>60</v>
      </c>
      <c r="G103" s="1">
        <v>5</v>
      </c>
      <c r="H103" s="1">
        <v>249</v>
      </c>
      <c r="I103" s="1">
        <v>1245</v>
      </c>
      <c r="J103" s="1" t="s">
        <v>15</v>
      </c>
    </row>
    <row r="104" spans="1:10" x14ac:dyDescent="0.3">
      <c r="A104" s="1" t="s">
        <v>136</v>
      </c>
      <c r="B104" s="3">
        <v>45216</v>
      </c>
      <c r="C104" s="1" t="s">
        <v>32</v>
      </c>
      <c r="D104" s="1" t="s">
        <v>40</v>
      </c>
      <c r="E104" s="1" t="s">
        <v>18</v>
      </c>
      <c r="F104" s="1" t="s">
        <v>60</v>
      </c>
      <c r="G104" s="1">
        <v>6</v>
      </c>
      <c r="H104" s="1">
        <v>207</v>
      </c>
      <c r="I104" s="1">
        <v>1242</v>
      </c>
      <c r="J104" s="1" t="s">
        <v>15</v>
      </c>
    </row>
    <row r="105" spans="1:10" x14ac:dyDescent="0.3">
      <c r="A105" s="1" t="s">
        <v>137</v>
      </c>
      <c r="B105" s="3">
        <v>45157</v>
      </c>
      <c r="C105" s="1" t="s">
        <v>11</v>
      </c>
      <c r="D105" s="1" t="s">
        <v>40</v>
      </c>
      <c r="E105" s="1" t="s">
        <v>18</v>
      </c>
      <c r="F105" s="1" t="s">
        <v>14</v>
      </c>
      <c r="G105" s="1">
        <v>8</v>
      </c>
      <c r="H105" s="1">
        <v>25</v>
      </c>
      <c r="I105" s="1">
        <v>200</v>
      </c>
      <c r="J105" s="1" t="s">
        <v>15</v>
      </c>
    </row>
    <row r="106" spans="1:10" x14ac:dyDescent="0.3">
      <c r="A106" s="1" t="s">
        <v>138</v>
      </c>
      <c r="B106" s="3">
        <v>44981</v>
      </c>
      <c r="C106" s="1" t="s">
        <v>36</v>
      </c>
      <c r="D106" s="1" t="s">
        <v>17</v>
      </c>
      <c r="E106" s="1" t="s">
        <v>29</v>
      </c>
      <c r="F106" s="1" t="s">
        <v>49</v>
      </c>
      <c r="G106" s="1">
        <v>7</v>
      </c>
      <c r="H106" s="1">
        <v>472</v>
      </c>
      <c r="I106" s="1">
        <v>3304</v>
      </c>
      <c r="J106" s="1" t="s">
        <v>15</v>
      </c>
    </row>
    <row r="107" spans="1:10" x14ac:dyDescent="0.3">
      <c r="A107" s="1" t="s">
        <v>139</v>
      </c>
      <c r="B107" s="3">
        <v>45146</v>
      </c>
      <c r="C107" s="1" t="s">
        <v>36</v>
      </c>
      <c r="D107" s="1" t="s">
        <v>17</v>
      </c>
      <c r="E107" s="1" t="s">
        <v>29</v>
      </c>
      <c r="F107" s="1" t="s">
        <v>49</v>
      </c>
      <c r="G107" s="1">
        <v>6</v>
      </c>
      <c r="H107" s="1">
        <v>152</v>
      </c>
      <c r="I107" s="1">
        <v>912</v>
      </c>
      <c r="J107" s="1" t="s">
        <v>27</v>
      </c>
    </row>
    <row r="108" spans="1:10" x14ac:dyDescent="0.3">
      <c r="A108" s="1" t="s">
        <v>140</v>
      </c>
      <c r="B108" s="3">
        <v>45279</v>
      </c>
      <c r="C108" s="1" t="s">
        <v>36</v>
      </c>
      <c r="D108" s="1" t="s">
        <v>33</v>
      </c>
      <c r="E108" s="1" t="s">
        <v>18</v>
      </c>
      <c r="F108" s="1" t="s">
        <v>34</v>
      </c>
      <c r="G108" s="1">
        <v>1</v>
      </c>
      <c r="H108" s="1">
        <v>159</v>
      </c>
      <c r="I108" s="1">
        <v>159</v>
      </c>
      <c r="J108" s="1" t="s">
        <v>27</v>
      </c>
    </row>
    <row r="109" spans="1:10" x14ac:dyDescent="0.3">
      <c r="A109" s="1" t="s">
        <v>141</v>
      </c>
      <c r="B109" s="3">
        <v>44927</v>
      </c>
      <c r="C109" s="1" t="s">
        <v>36</v>
      </c>
      <c r="D109" s="1" t="s">
        <v>17</v>
      </c>
      <c r="E109" s="1" t="s">
        <v>13</v>
      </c>
      <c r="F109" s="1" t="s">
        <v>60</v>
      </c>
      <c r="G109" s="1">
        <v>10</v>
      </c>
      <c r="H109" s="1">
        <v>302</v>
      </c>
      <c r="I109" s="1">
        <v>3020</v>
      </c>
      <c r="J109" s="1" t="s">
        <v>15</v>
      </c>
    </row>
    <row r="110" spans="1:10" x14ac:dyDescent="0.3">
      <c r="A110" s="1" t="s">
        <v>142</v>
      </c>
      <c r="B110" s="3">
        <v>45037</v>
      </c>
      <c r="C110" s="1" t="s">
        <v>21</v>
      </c>
      <c r="D110" s="1" t="s">
        <v>33</v>
      </c>
      <c r="E110" s="1" t="s">
        <v>25</v>
      </c>
      <c r="F110" s="1" t="s">
        <v>42</v>
      </c>
      <c r="G110" s="1">
        <v>3</v>
      </c>
      <c r="H110" s="1">
        <v>473</v>
      </c>
      <c r="I110" s="1">
        <v>1419</v>
      </c>
      <c r="J110" s="1" t="s">
        <v>30</v>
      </c>
    </row>
    <row r="111" spans="1:10" x14ac:dyDescent="0.3">
      <c r="A111" s="1" t="s">
        <v>143</v>
      </c>
      <c r="B111" s="3">
        <v>45030</v>
      </c>
      <c r="C111" s="1" t="s">
        <v>32</v>
      </c>
      <c r="D111" s="1" t="s">
        <v>40</v>
      </c>
      <c r="E111" s="1" t="s">
        <v>18</v>
      </c>
      <c r="F111" s="1" t="s">
        <v>60</v>
      </c>
      <c r="G111" s="1">
        <v>2</v>
      </c>
      <c r="H111" s="1">
        <v>142</v>
      </c>
      <c r="I111" s="1">
        <v>284</v>
      </c>
      <c r="J111" s="1" t="s">
        <v>15</v>
      </c>
    </row>
    <row r="112" spans="1:10" x14ac:dyDescent="0.3">
      <c r="A112" s="1" t="s">
        <v>144</v>
      </c>
      <c r="B112" s="3">
        <v>45166</v>
      </c>
      <c r="C112" s="1" t="s">
        <v>36</v>
      </c>
      <c r="D112" s="1" t="s">
        <v>12</v>
      </c>
      <c r="E112" s="1" t="s">
        <v>29</v>
      </c>
      <c r="F112" s="1" t="s">
        <v>26</v>
      </c>
      <c r="G112" s="1">
        <v>8</v>
      </c>
      <c r="H112" s="1">
        <v>328</v>
      </c>
      <c r="I112" s="1">
        <v>2624</v>
      </c>
      <c r="J112" s="1" t="s">
        <v>27</v>
      </c>
    </row>
    <row r="113" spans="1:10" x14ac:dyDescent="0.3">
      <c r="A113" s="1" t="s">
        <v>145</v>
      </c>
      <c r="B113" s="3">
        <v>44961</v>
      </c>
      <c r="C113" s="1" t="s">
        <v>21</v>
      </c>
      <c r="D113" s="1" t="s">
        <v>12</v>
      </c>
      <c r="E113" s="1" t="s">
        <v>18</v>
      </c>
      <c r="F113" s="1" t="s">
        <v>22</v>
      </c>
      <c r="G113" s="1">
        <v>8</v>
      </c>
      <c r="H113" s="1">
        <v>444</v>
      </c>
      <c r="I113" s="1">
        <v>3552</v>
      </c>
      <c r="J113" s="1" t="s">
        <v>15</v>
      </c>
    </row>
    <row r="114" spans="1:10" x14ac:dyDescent="0.3">
      <c r="A114" s="1" t="s">
        <v>146</v>
      </c>
      <c r="B114" s="3">
        <v>45082</v>
      </c>
      <c r="C114" s="1" t="s">
        <v>21</v>
      </c>
      <c r="D114" s="1" t="s">
        <v>17</v>
      </c>
      <c r="E114" s="1" t="s">
        <v>25</v>
      </c>
      <c r="F114" s="1" t="s">
        <v>19</v>
      </c>
      <c r="G114" s="1">
        <v>1</v>
      </c>
      <c r="H114" s="1">
        <v>263</v>
      </c>
      <c r="I114" s="1">
        <v>263</v>
      </c>
      <c r="J114" s="1" t="s">
        <v>15</v>
      </c>
    </row>
    <row r="115" spans="1:10" x14ac:dyDescent="0.3">
      <c r="A115" s="1" t="s">
        <v>147</v>
      </c>
      <c r="B115" s="3">
        <v>45043</v>
      </c>
      <c r="C115" s="1" t="s">
        <v>21</v>
      </c>
      <c r="D115" s="1" t="s">
        <v>24</v>
      </c>
      <c r="E115" s="1" t="s">
        <v>25</v>
      </c>
      <c r="F115" s="1" t="s">
        <v>14</v>
      </c>
      <c r="G115" s="1">
        <v>2</v>
      </c>
      <c r="H115" s="1">
        <v>190</v>
      </c>
      <c r="I115" s="1">
        <v>380</v>
      </c>
      <c r="J115" s="1" t="s">
        <v>27</v>
      </c>
    </row>
    <row r="116" spans="1:10" x14ac:dyDescent="0.3">
      <c r="A116" s="1" t="s">
        <v>148</v>
      </c>
      <c r="B116" s="3">
        <v>45282</v>
      </c>
      <c r="C116" s="1" t="s">
        <v>21</v>
      </c>
      <c r="D116" s="1" t="s">
        <v>33</v>
      </c>
      <c r="E116" s="1" t="s">
        <v>29</v>
      </c>
      <c r="F116" s="1" t="s">
        <v>60</v>
      </c>
      <c r="G116" s="1">
        <v>10</v>
      </c>
      <c r="H116" s="1">
        <v>201</v>
      </c>
      <c r="I116" s="1">
        <v>2010</v>
      </c>
      <c r="J116" s="1" t="s">
        <v>15</v>
      </c>
    </row>
    <row r="117" spans="1:10" x14ac:dyDescent="0.3">
      <c r="A117" s="1" t="s">
        <v>149</v>
      </c>
      <c r="B117" s="3">
        <v>45216</v>
      </c>
      <c r="C117" s="1" t="s">
        <v>36</v>
      </c>
      <c r="D117" s="1" t="s">
        <v>17</v>
      </c>
      <c r="E117" s="1" t="s">
        <v>29</v>
      </c>
      <c r="F117" s="1" t="s">
        <v>60</v>
      </c>
      <c r="G117" s="1">
        <v>2</v>
      </c>
      <c r="H117" s="1">
        <v>270</v>
      </c>
      <c r="I117" s="1">
        <v>540</v>
      </c>
      <c r="J117" s="1" t="s">
        <v>27</v>
      </c>
    </row>
    <row r="118" spans="1:10" x14ac:dyDescent="0.3">
      <c r="A118" s="1" t="s">
        <v>150</v>
      </c>
      <c r="B118" s="3">
        <v>45150</v>
      </c>
      <c r="C118" s="1" t="s">
        <v>11</v>
      </c>
      <c r="D118" s="1" t="s">
        <v>24</v>
      </c>
      <c r="E118" s="1" t="s">
        <v>25</v>
      </c>
      <c r="F118" s="1" t="s">
        <v>42</v>
      </c>
      <c r="G118" s="1">
        <v>10</v>
      </c>
      <c r="H118" s="1">
        <v>324</v>
      </c>
      <c r="I118" s="1">
        <v>3240</v>
      </c>
      <c r="J118" s="1" t="s">
        <v>27</v>
      </c>
    </row>
    <row r="119" spans="1:10" x14ac:dyDescent="0.3">
      <c r="A119" s="1" t="s">
        <v>151</v>
      </c>
      <c r="B119" s="3">
        <v>44994</v>
      </c>
      <c r="C119" s="1" t="s">
        <v>21</v>
      </c>
      <c r="D119" s="1" t="s">
        <v>12</v>
      </c>
      <c r="E119" s="1" t="s">
        <v>29</v>
      </c>
      <c r="F119" s="1" t="s">
        <v>14</v>
      </c>
      <c r="G119" s="1">
        <v>4</v>
      </c>
      <c r="H119" s="1">
        <v>160</v>
      </c>
      <c r="I119" s="1">
        <v>640</v>
      </c>
      <c r="J119" s="1" t="s">
        <v>27</v>
      </c>
    </row>
    <row r="120" spans="1:10" x14ac:dyDescent="0.3">
      <c r="A120" s="1" t="s">
        <v>152</v>
      </c>
      <c r="B120" s="3">
        <v>45206</v>
      </c>
      <c r="C120" s="1" t="s">
        <v>36</v>
      </c>
      <c r="D120" s="1" t="s">
        <v>33</v>
      </c>
      <c r="E120" s="1" t="s">
        <v>29</v>
      </c>
      <c r="F120" s="1" t="s">
        <v>49</v>
      </c>
      <c r="G120" s="1">
        <v>6</v>
      </c>
      <c r="H120" s="1">
        <v>47</v>
      </c>
      <c r="I120" s="1">
        <v>282</v>
      </c>
      <c r="J120" s="1" t="s">
        <v>27</v>
      </c>
    </row>
    <row r="121" spans="1:10" x14ac:dyDescent="0.3">
      <c r="A121" s="1" t="s">
        <v>153</v>
      </c>
      <c r="B121" s="3">
        <v>45097</v>
      </c>
      <c r="C121" s="1" t="s">
        <v>11</v>
      </c>
      <c r="D121" s="1" t="s">
        <v>24</v>
      </c>
      <c r="E121" s="1" t="s">
        <v>13</v>
      </c>
      <c r="F121" s="1" t="s">
        <v>26</v>
      </c>
      <c r="G121" s="1">
        <v>5</v>
      </c>
      <c r="H121" s="1">
        <v>206</v>
      </c>
      <c r="I121" s="1">
        <v>1030</v>
      </c>
      <c r="J121" s="1" t="s">
        <v>27</v>
      </c>
    </row>
    <row r="122" spans="1:10" x14ac:dyDescent="0.3">
      <c r="A122" s="1" t="s">
        <v>154</v>
      </c>
      <c r="B122" s="3">
        <v>44928</v>
      </c>
      <c r="C122" s="1" t="s">
        <v>11</v>
      </c>
      <c r="D122" s="1" t="s">
        <v>12</v>
      </c>
      <c r="E122" s="1" t="s">
        <v>13</v>
      </c>
      <c r="F122" s="1" t="s">
        <v>42</v>
      </c>
      <c r="G122" s="1">
        <v>4</v>
      </c>
      <c r="H122" s="1">
        <v>110</v>
      </c>
      <c r="I122" s="1">
        <v>440</v>
      </c>
      <c r="J122" s="1" t="s">
        <v>30</v>
      </c>
    </row>
    <row r="123" spans="1:10" x14ac:dyDescent="0.3">
      <c r="A123" s="1" t="s">
        <v>155</v>
      </c>
      <c r="B123" s="3">
        <v>45224</v>
      </c>
      <c r="C123" s="1" t="s">
        <v>11</v>
      </c>
      <c r="D123" s="1" t="s">
        <v>33</v>
      </c>
      <c r="E123" s="1" t="s">
        <v>18</v>
      </c>
      <c r="F123" s="1" t="s">
        <v>49</v>
      </c>
      <c r="G123" s="1">
        <v>7</v>
      </c>
      <c r="H123" s="1">
        <v>227</v>
      </c>
      <c r="I123" s="1">
        <v>1589</v>
      </c>
      <c r="J123" s="1" t="s">
        <v>15</v>
      </c>
    </row>
    <row r="124" spans="1:10" x14ac:dyDescent="0.3">
      <c r="A124" s="1" t="s">
        <v>156</v>
      </c>
      <c r="B124" s="3">
        <v>45136</v>
      </c>
      <c r="C124" s="1" t="s">
        <v>36</v>
      </c>
      <c r="D124" s="1" t="s">
        <v>40</v>
      </c>
      <c r="E124" s="1" t="s">
        <v>18</v>
      </c>
      <c r="F124" s="1" t="s">
        <v>14</v>
      </c>
      <c r="G124" s="1">
        <v>2</v>
      </c>
      <c r="H124" s="1">
        <v>384</v>
      </c>
      <c r="I124" s="1">
        <v>768</v>
      </c>
      <c r="J124" s="1" t="s">
        <v>30</v>
      </c>
    </row>
    <row r="125" spans="1:10" x14ac:dyDescent="0.3">
      <c r="A125" s="1" t="s">
        <v>157</v>
      </c>
      <c r="B125" s="3">
        <v>45233</v>
      </c>
      <c r="C125" s="1" t="s">
        <v>36</v>
      </c>
      <c r="D125" s="1" t="s">
        <v>17</v>
      </c>
      <c r="E125" s="1" t="s">
        <v>13</v>
      </c>
      <c r="F125" s="1" t="s">
        <v>49</v>
      </c>
      <c r="G125" s="1">
        <v>10</v>
      </c>
      <c r="H125" s="1">
        <v>360</v>
      </c>
      <c r="I125" s="1">
        <v>3600</v>
      </c>
      <c r="J125" s="1" t="s">
        <v>15</v>
      </c>
    </row>
    <row r="126" spans="1:10" x14ac:dyDescent="0.3">
      <c r="A126" s="1" t="s">
        <v>158</v>
      </c>
      <c r="B126" s="3">
        <v>45063</v>
      </c>
      <c r="C126" s="1" t="s">
        <v>11</v>
      </c>
      <c r="D126" s="1" t="s">
        <v>24</v>
      </c>
      <c r="E126" s="1" t="s">
        <v>13</v>
      </c>
      <c r="F126" s="1" t="s">
        <v>26</v>
      </c>
      <c r="G126" s="1">
        <v>10</v>
      </c>
      <c r="H126" s="1">
        <v>428</v>
      </c>
      <c r="I126" s="1">
        <v>4280</v>
      </c>
      <c r="J126" s="1" t="s">
        <v>30</v>
      </c>
    </row>
    <row r="127" spans="1:10" x14ac:dyDescent="0.3">
      <c r="A127" s="1" t="s">
        <v>159</v>
      </c>
      <c r="B127" s="3">
        <v>45017</v>
      </c>
      <c r="C127" s="1" t="s">
        <v>11</v>
      </c>
      <c r="D127" s="1" t="s">
        <v>12</v>
      </c>
      <c r="E127" s="1" t="s">
        <v>18</v>
      </c>
      <c r="F127" s="1" t="s">
        <v>49</v>
      </c>
      <c r="G127" s="1">
        <v>4</v>
      </c>
      <c r="H127" s="1">
        <v>310</v>
      </c>
      <c r="I127" s="1">
        <v>1240</v>
      </c>
      <c r="J127" s="1" t="s">
        <v>15</v>
      </c>
    </row>
    <row r="128" spans="1:10" x14ac:dyDescent="0.3">
      <c r="A128" s="1" t="s">
        <v>160</v>
      </c>
      <c r="B128" s="3">
        <v>45130</v>
      </c>
      <c r="C128" s="1" t="s">
        <v>36</v>
      </c>
      <c r="D128" s="1" t="s">
        <v>17</v>
      </c>
      <c r="E128" s="1" t="s">
        <v>29</v>
      </c>
      <c r="F128" s="1" t="s">
        <v>26</v>
      </c>
      <c r="G128" s="1">
        <v>7</v>
      </c>
      <c r="H128" s="1">
        <v>385</v>
      </c>
      <c r="I128" s="1">
        <v>2695</v>
      </c>
      <c r="J128" s="1" t="s">
        <v>27</v>
      </c>
    </row>
    <row r="129" spans="1:10" x14ac:dyDescent="0.3">
      <c r="A129" s="1" t="s">
        <v>161</v>
      </c>
      <c r="B129" s="3">
        <v>44975</v>
      </c>
      <c r="C129" s="1" t="s">
        <v>11</v>
      </c>
      <c r="D129" s="1" t="s">
        <v>24</v>
      </c>
      <c r="E129" s="1" t="s">
        <v>29</v>
      </c>
      <c r="F129" s="1" t="s">
        <v>14</v>
      </c>
      <c r="G129" s="1">
        <v>3</v>
      </c>
      <c r="H129" s="1">
        <v>466</v>
      </c>
      <c r="I129" s="1">
        <v>1398</v>
      </c>
      <c r="J129" s="1" t="s">
        <v>27</v>
      </c>
    </row>
    <row r="130" spans="1:10" x14ac:dyDescent="0.3">
      <c r="A130" s="1" t="s">
        <v>162</v>
      </c>
      <c r="B130" s="3">
        <v>45131</v>
      </c>
      <c r="C130" s="1" t="s">
        <v>21</v>
      </c>
      <c r="D130" s="1" t="s">
        <v>17</v>
      </c>
      <c r="E130" s="1" t="s">
        <v>13</v>
      </c>
      <c r="F130" s="1" t="s">
        <v>34</v>
      </c>
      <c r="G130" s="1">
        <v>1</v>
      </c>
      <c r="H130" s="1">
        <v>233</v>
      </c>
      <c r="I130" s="1">
        <v>233</v>
      </c>
      <c r="J130" s="1" t="s">
        <v>30</v>
      </c>
    </row>
    <row r="131" spans="1:10" x14ac:dyDescent="0.3">
      <c r="A131" s="1" t="s">
        <v>163</v>
      </c>
      <c r="B131" s="3">
        <v>45161</v>
      </c>
      <c r="C131" s="1" t="s">
        <v>11</v>
      </c>
      <c r="D131" s="1" t="s">
        <v>33</v>
      </c>
      <c r="E131" s="1" t="s">
        <v>25</v>
      </c>
      <c r="F131" s="1" t="s">
        <v>22</v>
      </c>
      <c r="G131" s="1">
        <v>3</v>
      </c>
      <c r="H131" s="1">
        <v>310</v>
      </c>
      <c r="I131" s="1">
        <v>930</v>
      </c>
      <c r="J131" s="1" t="s">
        <v>27</v>
      </c>
    </row>
    <row r="132" spans="1:10" x14ac:dyDescent="0.3">
      <c r="A132" s="1" t="s">
        <v>164</v>
      </c>
      <c r="B132" s="3">
        <v>45211</v>
      </c>
      <c r="C132" s="1" t="s">
        <v>11</v>
      </c>
      <c r="D132" s="1" t="s">
        <v>17</v>
      </c>
      <c r="E132" s="1" t="s">
        <v>29</v>
      </c>
      <c r="F132" s="1" t="s">
        <v>14</v>
      </c>
      <c r="G132" s="1">
        <v>7</v>
      </c>
      <c r="H132" s="1">
        <v>179</v>
      </c>
      <c r="I132" s="1">
        <v>1253</v>
      </c>
      <c r="J132" s="1" t="s">
        <v>30</v>
      </c>
    </row>
    <row r="133" spans="1:10" x14ac:dyDescent="0.3">
      <c r="A133" s="1" t="s">
        <v>165</v>
      </c>
      <c r="B133" s="3">
        <v>45152</v>
      </c>
      <c r="C133" s="1" t="s">
        <v>21</v>
      </c>
      <c r="D133" s="1" t="s">
        <v>17</v>
      </c>
      <c r="E133" s="1" t="s">
        <v>29</v>
      </c>
      <c r="F133" s="1" t="s">
        <v>14</v>
      </c>
      <c r="G133" s="1">
        <v>6</v>
      </c>
      <c r="H133" s="1">
        <v>100</v>
      </c>
      <c r="I133" s="1">
        <v>600</v>
      </c>
      <c r="J133" s="1" t="s">
        <v>15</v>
      </c>
    </row>
    <row r="134" spans="1:10" x14ac:dyDescent="0.3">
      <c r="A134" s="1" t="s">
        <v>166</v>
      </c>
      <c r="B134" s="3">
        <v>45211</v>
      </c>
      <c r="C134" s="1" t="s">
        <v>11</v>
      </c>
      <c r="D134" s="1" t="s">
        <v>12</v>
      </c>
      <c r="E134" s="1" t="s">
        <v>29</v>
      </c>
      <c r="F134" s="1" t="s">
        <v>34</v>
      </c>
      <c r="G134" s="1">
        <v>7</v>
      </c>
      <c r="H134" s="1">
        <v>292</v>
      </c>
      <c r="I134" s="1">
        <v>2044</v>
      </c>
      <c r="J134" s="1" t="s">
        <v>15</v>
      </c>
    </row>
    <row r="135" spans="1:10" x14ac:dyDescent="0.3">
      <c r="A135" s="1" t="s">
        <v>167</v>
      </c>
      <c r="B135" s="3">
        <v>45284</v>
      </c>
      <c r="C135" s="1" t="s">
        <v>32</v>
      </c>
      <c r="D135" s="1" t="s">
        <v>24</v>
      </c>
      <c r="E135" s="1" t="s">
        <v>25</v>
      </c>
      <c r="F135" s="1" t="s">
        <v>34</v>
      </c>
      <c r="G135" s="1">
        <v>8</v>
      </c>
      <c r="H135" s="1">
        <v>463</v>
      </c>
      <c r="I135" s="1">
        <v>3704</v>
      </c>
      <c r="J135" s="1" t="s">
        <v>15</v>
      </c>
    </row>
    <row r="136" spans="1:10" x14ac:dyDescent="0.3">
      <c r="A136" s="1" t="s">
        <v>168</v>
      </c>
      <c r="B136" s="3">
        <v>45143</v>
      </c>
      <c r="C136" s="1" t="s">
        <v>36</v>
      </c>
      <c r="D136" s="1" t="s">
        <v>24</v>
      </c>
      <c r="E136" s="1" t="s">
        <v>18</v>
      </c>
      <c r="F136" s="1" t="s">
        <v>26</v>
      </c>
      <c r="G136" s="1">
        <v>2</v>
      </c>
      <c r="H136" s="1">
        <v>191</v>
      </c>
      <c r="I136" s="1">
        <v>382</v>
      </c>
      <c r="J136" s="1" t="s">
        <v>15</v>
      </c>
    </row>
    <row r="137" spans="1:10" x14ac:dyDescent="0.3">
      <c r="A137" s="1" t="s">
        <v>169</v>
      </c>
      <c r="B137" s="3">
        <v>45052</v>
      </c>
      <c r="C137" s="1" t="s">
        <v>36</v>
      </c>
      <c r="D137" s="1" t="s">
        <v>12</v>
      </c>
      <c r="E137" s="1" t="s">
        <v>29</v>
      </c>
      <c r="F137" s="1" t="s">
        <v>26</v>
      </c>
      <c r="G137" s="1">
        <v>9</v>
      </c>
      <c r="H137" s="1">
        <v>479</v>
      </c>
      <c r="I137" s="1">
        <v>4311</v>
      </c>
      <c r="J137" s="1" t="s">
        <v>27</v>
      </c>
    </row>
    <row r="138" spans="1:10" x14ac:dyDescent="0.3">
      <c r="A138" s="1" t="s">
        <v>170</v>
      </c>
      <c r="B138" s="3">
        <v>45082</v>
      </c>
      <c r="C138" s="1" t="s">
        <v>36</v>
      </c>
      <c r="D138" s="1" t="s">
        <v>24</v>
      </c>
      <c r="E138" s="1" t="s">
        <v>18</v>
      </c>
      <c r="F138" s="1" t="s">
        <v>26</v>
      </c>
      <c r="G138" s="1">
        <v>4</v>
      </c>
      <c r="H138" s="1">
        <v>332</v>
      </c>
      <c r="I138" s="1">
        <v>1328</v>
      </c>
      <c r="J138" s="1" t="s">
        <v>27</v>
      </c>
    </row>
    <row r="139" spans="1:10" x14ac:dyDescent="0.3">
      <c r="A139" s="1" t="s">
        <v>171</v>
      </c>
      <c r="B139" s="3">
        <v>44979</v>
      </c>
      <c r="C139" s="1" t="s">
        <v>21</v>
      </c>
      <c r="D139" s="1" t="s">
        <v>40</v>
      </c>
      <c r="E139" s="1" t="s">
        <v>25</v>
      </c>
      <c r="F139" s="1" t="s">
        <v>42</v>
      </c>
      <c r="G139" s="1">
        <v>9</v>
      </c>
      <c r="H139" s="1">
        <v>321</v>
      </c>
      <c r="I139" s="1">
        <v>2889</v>
      </c>
      <c r="J139" s="1" t="s">
        <v>15</v>
      </c>
    </row>
    <row r="140" spans="1:10" x14ac:dyDescent="0.3">
      <c r="A140" s="1" t="s">
        <v>172</v>
      </c>
      <c r="B140" s="3">
        <v>45068</v>
      </c>
      <c r="C140" s="1" t="s">
        <v>21</v>
      </c>
      <c r="D140" s="1" t="s">
        <v>33</v>
      </c>
      <c r="E140" s="1" t="s">
        <v>29</v>
      </c>
      <c r="F140" s="1" t="s">
        <v>60</v>
      </c>
      <c r="G140" s="1">
        <v>8</v>
      </c>
      <c r="H140" s="1">
        <v>486</v>
      </c>
      <c r="I140" s="1">
        <v>3888</v>
      </c>
      <c r="J140" s="1" t="s">
        <v>15</v>
      </c>
    </row>
    <row r="141" spans="1:10" x14ac:dyDescent="0.3">
      <c r="A141" s="1" t="s">
        <v>173</v>
      </c>
      <c r="B141" s="3">
        <v>45091</v>
      </c>
      <c r="C141" s="1" t="s">
        <v>21</v>
      </c>
      <c r="D141" s="1" t="s">
        <v>17</v>
      </c>
      <c r="E141" s="1" t="s">
        <v>18</v>
      </c>
      <c r="F141" s="1" t="s">
        <v>22</v>
      </c>
      <c r="G141" s="1">
        <v>6</v>
      </c>
      <c r="H141" s="1">
        <v>104</v>
      </c>
      <c r="I141" s="1">
        <v>624</v>
      </c>
      <c r="J141" s="1" t="s">
        <v>15</v>
      </c>
    </row>
    <row r="142" spans="1:10" x14ac:dyDescent="0.3">
      <c r="A142" s="1" t="s">
        <v>174</v>
      </c>
      <c r="B142" s="3">
        <v>45067</v>
      </c>
      <c r="C142" s="1" t="s">
        <v>36</v>
      </c>
      <c r="D142" s="1" t="s">
        <v>40</v>
      </c>
      <c r="E142" s="1" t="s">
        <v>18</v>
      </c>
      <c r="F142" s="1" t="s">
        <v>60</v>
      </c>
      <c r="G142" s="1">
        <v>1</v>
      </c>
      <c r="H142" s="1">
        <v>282</v>
      </c>
      <c r="I142" s="1">
        <v>282</v>
      </c>
      <c r="J142" s="1" t="s">
        <v>30</v>
      </c>
    </row>
    <row r="143" spans="1:10" x14ac:dyDescent="0.3">
      <c r="A143" s="1" t="s">
        <v>175</v>
      </c>
      <c r="B143" s="3">
        <v>45133</v>
      </c>
      <c r="C143" s="1" t="s">
        <v>32</v>
      </c>
      <c r="D143" s="1" t="s">
        <v>40</v>
      </c>
      <c r="E143" s="1" t="s">
        <v>13</v>
      </c>
      <c r="F143" s="1" t="s">
        <v>26</v>
      </c>
      <c r="G143" s="1">
        <v>7</v>
      </c>
      <c r="H143" s="1">
        <v>106</v>
      </c>
      <c r="I143" s="1">
        <v>742</v>
      </c>
      <c r="J143" s="1" t="s">
        <v>15</v>
      </c>
    </row>
    <row r="144" spans="1:10" x14ac:dyDescent="0.3">
      <c r="A144" s="1" t="s">
        <v>176</v>
      </c>
      <c r="B144" s="3">
        <v>45027</v>
      </c>
      <c r="C144" s="1" t="s">
        <v>32</v>
      </c>
      <c r="D144" s="1" t="s">
        <v>24</v>
      </c>
      <c r="E144" s="1" t="s">
        <v>13</v>
      </c>
      <c r="F144" s="1" t="s">
        <v>26</v>
      </c>
      <c r="G144" s="1">
        <v>4</v>
      </c>
      <c r="H144" s="1">
        <v>102</v>
      </c>
      <c r="I144" s="1">
        <v>408</v>
      </c>
      <c r="J144" s="1" t="s">
        <v>30</v>
      </c>
    </row>
    <row r="145" spans="1:10" x14ac:dyDescent="0.3">
      <c r="A145" s="1" t="s">
        <v>177</v>
      </c>
      <c r="B145" s="3">
        <v>44944</v>
      </c>
      <c r="C145" s="1" t="s">
        <v>32</v>
      </c>
      <c r="D145" s="1" t="s">
        <v>12</v>
      </c>
      <c r="E145" s="1" t="s">
        <v>18</v>
      </c>
      <c r="F145" s="1" t="s">
        <v>42</v>
      </c>
      <c r="G145" s="1">
        <v>5</v>
      </c>
      <c r="H145" s="1">
        <v>375</v>
      </c>
      <c r="I145" s="1">
        <v>1875</v>
      </c>
      <c r="J145" s="1" t="s">
        <v>27</v>
      </c>
    </row>
    <row r="146" spans="1:10" x14ac:dyDescent="0.3">
      <c r="A146" s="1" t="s">
        <v>178</v>
      </c>
      <c r="B146" s="3">
        <v>45022</v>
      </c>
      <c r="C146" s="1" t="s">
        <v>11</v>
      </c>
      <c r="D146" s="1" t="s">
        <v>33</v>
      </c>
      <c r="E146" s="1" t="s">
        <v>18</v>
      </c>
      <c r="F146" s="1" t="s">
        <v>22</v>
      </c>
      <c r="G146" s="1">
        <v>8</v>
      </c>
      <c r="H146" s="1">
        <v>204</v>
      </c>
      <c r="I146" s="1">
        <v>1632</v>
      </c>
      <c r="J146" s="1" t="s">
        <v>30</v>
      </c>
    </row>
    <row r="147" spans="1:10" x14ac:dyDescent="0.3">
      <c r="A147" s="1" t="s">
        <v>179</v>
      </c>
      <c r="B147" s="3">
        <v>45190</v>
      </c>
      <c r="C147" s="1" t="s">
        <v>21</v>
      </c>
      <c r="D147" s="1" t="s">
        <v>33</v>
      </c>
      <c r="E147" s="1" t="s">
        <v>25</v>
      </c>
      <c r="F147" s="1" t="s">
        <v>19</v>
      </c>
      <c r="G147" s="1">
        <v>7</v>
      </c>
      <c r="H147" s="1">
        <v>199</v>
      </c>
      <c r="I147" s="1">
        <v>1393</v>
      </c>
      <c r="J147" s="1" t="s">
        <v>15</v>
      </c>
    </row>
    <row r="148" spans="1:10" x14ac:dyDescent="0.3">
      <c r="A148" s="1" t="s">
        <v>180</v>
      </c>
      <c r="B148" s="3">
        <v>45254</v>
      </c>
      <c r="C148" s="1" t="s">
        <v>11</v>
      </c>
      <c r="D148" s="1" t="s">
        <v>24</v>
      </c>
      <c r="E148" s="1" t="s">
        <v>13</v>
      </c>
      <c r="F148" s="1" t="s">
        <v>14</v>
      </c>
      <c r="G148" s="1">
        <v>8</v>
      </c>
      <c r="H148" s="1">
        <v>28</v>
      </c>
      <c r="I148" s="1">
        <v>224</v>
      </c>
      <c r="J148" s="1" t="s">
        <v>15</v>
      </c>
    </row>
    <row r="149" spans="1:10" x14ac:dyDescent="0.3">
      <c r="A149" s="1" t="s">
        <v>181</v>
      </c>
      <c r="B149" s="3">
        <v>45232</v>
      </c>
      <c r="C149" s="1" t="s">
        <v>21</v>
      </c>
      <c r="D149" s="1" t="s">
        <v>12</v>
      </c>
      <c r="E149" s="1" t="s">
        <v>25</v>
      </c>
      <c r="F149" s="1" t="s">
        <v>26</v>
      </c>
      <c r="G149" s="1">
        <v>2</v>
      </c>
      <c r="H149" s="1">
        <v>397</v>
      </c>
      <c r="I149" s="1">
        <v>794</v>
      </c>
      <c r="J149" s="1" t="s">
        <v>30</v>
      </c>
    </row>
    <row r="150" spans="1:10" x14ac:dyDescent="0.3">
      <c r="A150" s="1" t="s">
        <v>182</v>
      </c>
      <c r="B150" s="3">
        <v>45020</v>
      </c>
      <c r="C150" s="1" t="s">
        <v>32</v>
      </c>
      <c r="D150" s="1" t="s">
        <v>17</v>
      </c>
      <c r="E150" s="1" t="s">
        <v>18</v>
      </c>
      <c r="F150" s="1" t="s">
        <v>26</v>
      </c>
      <c r="G150" s="1">
        <v>7</v>
      </c>
      <c r="H150" s="1">
        <v>474</v>
      </c>
      <c r="I150" s="1">
        <v>3318</v>
      </c>
      <c r="J150" s="1" t="s">
        <v>30</v>
      </c>
    </row>
    <row r="151" spans="1:10" x14ac:dyDescent="0.3">
      <c r="A151" s="1" t="s">
        <v>183</v>
      </c>
      <c r="B151" s="3">
        <v>44970</v>
      </c>
      <c r="C151" s="1" t="s">
        <v>32</v>
      </c>
      <c r="D151" s="1" t="s">
        <v>40</v>
      </c>
      <c r="E151" s="1" t="s">
        <v>25</v>
      </c>
      <c r="F151" s="1" t="s">
        <v>22</v>
      </c>
      <c r="G151" s="1">
        <v>8</v>
      </c>
      <c r="H151" s="1">
        <v>493</v>
      </c>
      <c r="I151" s="1">
        <v>3944</v>
      </c>
      <c r="J151" s="1" t="s">
        <v>30</v>
      </c>
    </row>
    <row r="152" spans="1:10" x14ac:dyDescent="0.3">
      <c r="G152">
        <f>SUM(G2:G151)</f>
        <v>771</v>
      </c>
      <c r="H152">
        <f>AVERAGE(H2:H151)</f>
        <v>267.02</v>
      </c>
      <c r="I152" s="1">
        <f>SUM(I2:I151)</f>
        <v>208358</v>
      </c>
    </row>
  </sheetData>
  <autoFilter ref="A1:J15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 sales</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Mahmood Alaa</cp:lastModifiedBy>
  <dcterms:created xsi:type="dcterms:W3CDTF">2025-12-09T08:51:47Z</dcterms:created>
  <dcterms:modified xsi:type="dcterms:W3CDTF">2026-03-07T04:30:59Z</dcterms:modified>
</cp:coreProperties>
</file>